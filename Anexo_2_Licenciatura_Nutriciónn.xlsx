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ere\Downloads\"/>
    </mc:Choice>
  </mc:AlternateContent>
  <xr:revisionPtr revIDLastSave="0" documentId="13_ncr:1_{FE8938C1-74FA-4EE9-9581-475801130E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ÍGIDO-Anexo 2 (A)" sheetId="6" r:id="rId1"/>
    <sheet name="OPTATIVAS-Anexo 2 (A)" sheetId="3" r:id="rId2"/>
    <sheet name="FLEXIBLE-Anexo 2 (B)" sheetId="4" r:id="rId3"/>
    <sheet name="Instrucciones para el llenad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7" i="4" l="1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3" i="4"/>
  <c r="F43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F39" i="4"/>
  <c r="F40" i="4"/>
  <c r="F41" i="4"/>
  <c r="F42" i="4"/>
  <c r="F44" i="4"/>
  <c r="E11" i="4"/>
  <c r="F11" i="4" s="1"/>
  <c r="E10" i="4"/>
  <c r="F10" i="4" s="1"/>
  <c r="E9" i="4"/>
  <c r="F9" i="4" s="1"/>
  <c r="E8" i="4"/>
  <c r="F8" i="4" s="1"/>
  <c r="E7" i="4"/>
  <c r="F7" i="4" s="1"/>
  <c r="E72" i="4" l="1"/>
  <c r="G10" i="4"/>
  <c r="G9" i="4"/>
  <c r="G8" i="4"/>
  <c r="G7" i="4"/>
  <c r="F74" i="4"/>
  <c r="F75" i="4"/>
  <c r="F73" i="4"/>
  <c r="F72" i="4"/>
  <c r="E75" i="4"/>
  <c r="E74" i="4"/>
  <c r="E73" i="4"/>
  <c r="C72" i="4"/>
  <c r="G65" i="4"/>
  <c r="G25" i="4"/>
  <c r="G26" i="4"/>
  <c r="G53" i="4"/>
  <c r="G54" i="4"/>
  <c r="G55" i="4"/>
  <c r="G56" i="4"/>
  <c r="G57" i="4"/>
  <c r="G58" i="4"/>
  <c r="G59" i="4"/>
  <c r="G60" i="4"/>
  <c r="G61" i="4"/>
  <c r="G62" i="4"/>
  <c r="G63" i="4"/>
  <c r="G64" i="4"/>
  <c r="G66" i="4"/>
  <c r="G67" i="4"/>
  <c r="AZ52" i="6"/>
  <c r="AZ51" i="6"/>
  <c r="AZ50" i="6"/>
  <c r="AZ46" i="6"/>
  <c r="AZ45" i="6"/>
  <c r="AZ44" i="6"/>
  <c r="AZ40" i="6"/>
  <c r="AZ39" i="6"/>
  <c r="AZ38" i="6"/>
  <c r="AZ34" i="6"/>
  <c r="AZ33" i="6"/>
  <c r="AZ22" i="6"/>
  <c r="AZ21" i="6"/>
  <c r="AZ32" i="6"/>
  <c r="AZ9" i="6"/>
  <c r="AZ10" i="6"/>
  <c r="AZ28" i="6"/>
  <c r="AZ27" i="6"/>
  <c r="AZ26" i="6"/>
  <c r="AZ14" i="6"/>
  <c r="AZ15" i="6"/>
  <c r="AZ16" i="6"/>
  <c r="AZ20" i="6"/>
  <c r="AZ8" i="6"/>
  <c r="G52" i="4"/>
  <c r="G24" i="4"/>
  <c r="G23" i="4"/>
  <c r="G22" i="4"/>
  <c r="G21" i="4"/>
  <c r="G20" i="4"/>
  <c r="G18" i="4"/>
  <c r="C75" i="4"/>
  <c r="C74" i="4"/>
  <c r="C73" i="4"/>
  <c r="AK59" i="6" l="1"/>
  <c r="C24" i="3" s="1"/>
  <c r="C25" i="3"/>
  <c r="E25" i="3"/>
  <c r="AK60" i="6"/>
  <c r="E24" i="3" s="1"/>
  <c r="F17" i="3"/>
  <c r="AK61" i="6"/>
  <c r="G24" i="3" s="1"/>
  <c r="G75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19" i="4"/>
  <c r="G17" i="4"/>
  <c r="G16" i="4"/>
  <c r="G15" i="4"/>
  <c r="G14" i="4"/>
  <c r="G13" i="4"/>
  <c r="G12" i="4"/>
  <c r="G11" i="4"/>
  <c r="C27" i="3" l="1"/>
  <c r="E27" i="3"/>
  <c r="G25" i="3"/>
  <c r="F18" i="3"/>
  <c r="G72" i="4"/>
  <c r="G74" i="4"/>
  <c r="G73" i="4"/>
  <c r="F77" i="4"/>
  <c r="E77" i="4"/>
  <c r="C77" i="4"/>
  <c r="G77" i="4" l="1"/>
  <c r="G2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AY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Usuario de Windows:
</t>
        </r>
        <r>
          <rPr>
            <sz val="11"/>
            <color rgb="FF000000"/>
            <rFont val="Calibri"/>
            <family val="2"/>
          </rPr>
          <t>Total de horas bajo conducción de un académico correspondiente a este ciclo.</t>
        </r>
      </text>
    </comment>
    <comment ref="AY9" authorId="0" shapeId="0" xr:uid="{00000000-0006-0000-0000-000002000000}">
      <text>
        <r>
          <rPr>
            <sz val="11"/>
            <color theme="1"/>
            <rFont val="Calibri"/>
            <family val="2"/>
          </rPr>
          <t>Usuario de Windows:
Total de horas independientes correspondiente a este ciclo.</t>
        </r>
      </text>
    </comment>
    <comment ref="AY10" authorId="0" shapeId="0" xr:uid="{00000000-0006-0000-0000-000003000000}">
      <text>
        <r>
          <rPr>
            <sz val="11"/>
            <color rgb="FF000000"/>
            <rFont val="Calibri"/>
            <family val="2"/>
          </rPr>
          <t xml:space="preserve">Usuario de Windows:
</t>
        </r>
        <r>
          <rPr>
            <sz val="11"/>
            <color rgb="FF000000"/>
            <rFont val="Calibri"/>
            <family val="2"/>
          </rPr>
          <t>Total de créditos correspondiente a este ciclo.</t>
        </r>
      </text>
    </comment>
    <comment ref="AI59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Usuario de Windows:
</t>
        </r>
        <r>
          <rPr>
            <sz val="11"/>
            <color rgb="FF000000"/>
            <rFont val="Calibri"/>
            <family val="2"/>
          </rPr>
          <t>Total de horas bajo conducción de un académico del plan de estudios.</t>
        </r>
      </text>
    </comment>
    <comment ref="AI60" authorId="0" shapeId="0" xr:uid="{00000000-0006-0000-0000-000005000000}">
      <text>
        <r>
          <rPr>
            <sz val="11"/>
            <color rgb="FF000000"/>
            <rFont val="Calibri"/>
            <family val="2"/>
          </rPr>
          <t xml:space="preserve">Usuario de Windows:
</t>
        </r>
        <r>
          <rPr>
            <sz val="11"/>
            <color rgb="FF000000"/>
            <rFont val="Calibri"/>
            <family val="2"/>
          </rPr>
          <t>Total de horas independientes del plan de estudios.</t>
        </r>
      </text>
    </comment>
    <comment ref="AI61" authorId="0" shapeId="0" xr:uid="{00000000-0006-0000-0000-000006000000}">
      <text>
        <r>
          <rPr>
            <sz val="11"/>
            <color rgb="FF000000"/>
            <rFont val="Calibri"/>
            <family val="2"/>
          </rPr>
          <t xml:space="preserve">Usuario de Windows:
</t>
        </r>
        <r>
          <rPr>
            <sz val="11"/>
            <color rgb="FF000000"/>
            <rFont val="Calibri"/>
            <family val="2"/>
          </rPr>
          <t>Total de créditos del plan de estudios.</t>
        </r>
      </text>
    </comment>
  </commentList>
</comments>
</file>

<file path=xl/sharedStrings.xml><?xml version="1.0" encoding="utf-8"?>
<sst xmlns="http://schemas.openxmlformats.org/spreadsheetml/2006/main" count="649" uniqueCount="266">
  <si>
    <t>Anexo 2</t>
  </si>
  <si>
    <t>"MAPA CURRICULAR"</t>
  </si>
  <si>
    <t>CICLO</t>
  </si>
  <si>
    <t>HA</t>
  </si>
  <si>
    <t>HI</t>
  </si>
  <si>
    <t>CR</t>
  </si>
  <si>
    <t>CLAVE</t>
  </si>
  <si>
    <t>SERIACIÓN</t>
  </si>
  <si>
    <t>TIPO DE ASIGNATURA</t>
  </si>
  <si>
    <t>ÁREAS</t>
  </si>
  <si>
    <t>TOTAL DEL PLAN DE ESTUDIOS</t>
  </si>
  <si>
    <t>NOMBRE DE LA ASIGNATURA O UNIDAD DE APRENDIZAJE</t>
  </si>
  <si>
    <t>HORAS BAJO CONDUCCIÓN DE UN ACADÉMICO</t>
  </si>
  <si>
    <t>CRÉDITOS</t>
  </si>
  <si>
    <t>INSTALACIÓN</t>
  </si>
  <si>
    <t>HORAS INDEPENDIENTES</t>
  </si>
  <si>
    <t>ASIGNATURAS OPTATIVAS</t>
  </si>
  <si>
    <t>ASIGNATURA O UNIDAD DE APRENDIZAJE</t>
  </si>
  <si>
    <t>HORAS</t>
  </si>
  <si>
    <t>INSTALACIONES</t>
  </si>
  <si>
    <t>CON ACADÉMICO</t>
  </si>
  <si>
    <t>INDEPENDIENTES</t>
  </si>
  <si>
    <t>REQUERIMIENTOS MÍNIMOS PARA LAS ASIGNATURAS OPTATIVAS</t>
  </si>
  <si>
    <t>TOTAL DE ASIGNATURAS QUE INTEGRAN EL PLAN DE ESTUDIOS</t>
  </si>
  <si>
    <t>OBLIGATORIAS</t>
  </si>
  <si>
    <t>OPTATIVAS</t>
  </si>
  <si>
    <t>SUMAS TOTALES</t>
  </si>
  <si>
    <t>ÁREA (O MÓDULO)</t>
  </si>
  <si>
    <t xml:space="preserve">INDICACIONES: </t>
  </si>
  <si>
    <t>Exhibir la información de los planes de estudio, coforme a los siguientes supuestos y atendiendo las indicaciones para el llenado de cada formato:</t>
  </si>
  <si>
    <t>1) DISEÑO CURRICULAR RÍGIDO:</t>
  </si>
  <si>
    <t>Son planes de estudio organizados en ciclos escolares.</t>
  </si>
  <si>
    <t xml:space="preserve">Emplear el formato de la hoja denominada "RÍGIDO-Anexo 2 (A)". </t>
  </si>
  <si>
    <r>
      <t xml:space="preserve">Si cuenta con asignaturas optativas;  únicamente deberá indicar el dato "optativa" en el rubro </t>
    </r>
    <r>
      <rPr>
        <u/>
        <sz val="10"/>
        <rFont val="Times New Roman"/>
        <family val="1"/>
      </rPr>
      <t>tipo de asignatura</t>
    </r>
    <r>
      <rPr>
        <sz val="10"/>
        <rFont val="Times New Roman"/>
        <family val="1"/>
      </rPr>
      <t xml:space="preserve"> del formato "RÍGIDO-Anexo 2 (A)", y la información restante deberá señalarla en el formato "OPTATIVAS-Anexo 2 (A)".</t>
    </r>
  </si>
  <si>
    <t>2) DISEÑO CURRICULAR FLEXIBLE:</t>
  </si>
  <si>
    <t>Considera planes de estudio en el que sus asignaturas se encuentran organizadas en áreas o módulos.</t>
  </si>
  <si>
    <r>
      <t xml:space="preserve">Exhibir el formato de la hoja denominada "FLEXIBLE-Anexo 2 (B)". Además, es indispensable emplear el formato "RÍGIDO-Anexo 2 (A)" para ilustrar la trayectoria académica que seguirán los estudiantes; es decir, el </t>
    </r>
    <r>
      <rPr>
        <u/>
        <sz val="10"/>
        <rFont val="Times New Roman"/>
        <family val="1"/>
      </rPr>
      <t>ideal de mapa curricular.</t>
    </r>
  </si>
  <si>
    <t>RÍGIDO-Anexo 2 (A)</t>
  </si>
  <si>
    <t>MAPA CURRICULAR</t>
  </si>
  <si>
    <t>APARTADO</t>
  </si>
  <si>
    <t>DESCRIPCIÓN</t>
  </si>
  <si>
    <t>Ciclo escolar</t>
  </si>
  <si>
    <t>Indicar el tipo y número de ciclo en el que los estudiantes cursarán cada asignatura. En el ejemplo, se indica entre paréntesis los distintos tipos de ciclos; elegir el correspondiente al plan de estudios y omitir los restantes.</t>
  </si>
  <si>
    <t>Tipo de asignatura o unidad de aprendizaje</t>
  </si>
  <si>
    <t xml:space="preserve">Señalar si es obligatoria u optativa. </t>
  </si>
  <si>
    <t>Denominación de asignatura o unidad de aprendizaje</t>
  </si>
  <si>
    <t>Especificar el nombre con el que se identifica a cada asignatura. Elegir de acuerdo a la disciplina o campo de estudio y evitar el uso de abreviaturas o terminología extranjera.</t>
  </si>
  <si>
    <t>Clave de asignatura o unidad de aprendizaje</t>
  </si>
  <si>
    <t>Identificar de manera numérica o alfanumérica cada asignatura.</t>
  </si>
  <si>
    <t xml:space="preserve">Seriación </t>
  </si>
  <si>
    <t>Enunciar la clave de la asignatura que previamente debió cursarse y que determina la secuencia temática con la actual.</t>
  </si>
  <si>
    <t xml:space="preserve">Horas bajo conducción de un académico </t>
  </si>
  <si>
    <t>Establecer el número de horas-clase que se dedicará por ciclo a la asignatura. Considerar horas completas.</t>
  </si>
  <si>
    <t xml:space="preserve">Horas independientes </t>
  </si>
  <si>
    <t>Proponer el número de horas que dedica el alumno por ciclo para su estudio independiente.</t>
  </si>
  <si>
    <t>Créditos</t>
  </si>
  <si>
    <t>Indicar el número de créditos establecidos para cada asignatura. Considerar 0.0625 por cada hora destinada al desarrollo de las actividades bajo conducción de un académico e independientes por ciclo.</t>
  </si>
  <si>
    <t xml:space="preserve">Tipo de instalaciones </t>
  </si>
  <si>
    <t>Especificar el tipo de instalación (incluyendo especiales) que empleará para el desarrollo de las actividades de aprendizaje bajo la conducción de un académico. Vincular con la modalidad educativa.</t>
  </si>
  <si>
    <r>
      <rPr>
        <b/>
        <sz val="9"/>
        <color theme="1"/>
        <rFont val="Times New Roman"/>
        <family val="1"/>
      </rPr>
      <t>NOTA</t>
    </r>
    <r>
      <rPr>
        <sz val="9"/>
        <color theme="1"/>
        <rFont val="Times New Roman"/>
        <family val="1"/>
      </rPr>
      <t>: Los espacios en el mapa curricular deberán corresponder con el número de ciclos y asignaturas que comprenden el plan de estudios. Agregar u omitir espacios, de acuerdo a sus necesidades.</t>
    </r>
  </si>
  <si>
    <t>Los colores de la representación en miniatura del mapa curricular únicamente son un referente ilustrativo para la ubicación de la información; por lo que se puede prescindir de ellos. En cambio, para la clasificación de las áreas en currículo flexible, se recomienda mantener los colores representados.</t>
  </si>
  <si>
    <t>OPTATIVAS-Anexo 2 (A)</t>
  </si>
  <si>
    <r>
      <rPr>
        <b/>
        <sz val="9"/>
        <rFont val="Times New Roman"/>
        <family val="1"/>
      </rPr>
      <t>Apartado</t>
    </r>
    <r>
      <rPr>
        <b/>
        <sz val="10"/>
        <rFont val="Times New Roman"/>
        <family val="1"/>
      </rPr>
      <t>:</t>
    </r>
    <r>
      <rPr>
        <b/>
        <sz val="12"/>
        <rFont val="Times New Roman"/>
        <family val="1"/>
      </rPr>
      <t xml:space="preserve">   </t>
    </r>
    <r>
      <rPr>
        <b/>
        <sz val="10"/>
        <rFont val="Times New Roman"/>
        <family val="1"/>
      </rPr>
      <t>ASIGNATURAS OPTATIVAS</t>
    </r>
  </si>
  <si>
    <t xml:space="preserve">Indicar el tipo y número de ciclo en el que los estudiantes podrán cursar la asignatura. </t>
  </si>
  <si>
    <t>Especificar el nombre con el que se identifica a cada una de las asignaturas. Elegir de acuerdo a la disciplina o campo de estudio y evitar el uso de abreviaturas o terminología extranjera.</t>
  </si>
  <si>
    <t>Identificar de manera numérica o alfanumérica cada una de las asignaturas.</t>
  </si>
  <si>
    <r>
      <rPr>
        <b/>
        <sz val="10"/>
        <color theme="1"/>
        <rFont val="Times New Roman"/>
        <family val="1"/>
      </rPr>
      <t>NOTA</t>
    </r>
    <r>
      <rPr>
        <sz val="10"/>
        <color theme="1"/>
        <rFont val="Times New Roman"/>
        <family val="1"/>
      </rPr>
      <t>: El número de filas dependerá de la cantidad de asignaturas optativas que se oferten para el plan de estudios.</t>
    </r>
  </si>
  <si>
    <r>
      <t xml:space="preserve">Apartado: </t>
    </r>
    <r>
      <rPr>
        <b/>
        <sz val="10"/>
        <rFont val="Times New Roman"/>
        <family val="1"/>
      </rPr>
      <t>REQUERIMIENTOS MÍNIMOS PARA LAS ASIGNATURAS OPTATIVAS</t>
    </r>
  </si>
  <si>
    <t>Horas bajo conducción de un académio</t>
  </si>
  <si>
    <t>Indicar el número mínimo de horas bajo condución de un académico que se deberán cumplimentar en las asignaturas optativas.</t>
  </si>
  <si>
    <t>Señalar el número mínimo de crédios que se deberán cumplimentar en las asignaturas optativas.</t>
  </si>
  <si>
    <r>
      <rPr>
        <b/>
        <sz val="9"/>
        <rFont val="Times New Roman"/>
        <family val="1"/>
      </rPr>
      <t>Apartado:</t>
    </r>
    <r>
      <rPr>
        <b/>
        <sz val="10"/>
        <rFont val="Times New Roman"/>
        <family val="1"/>
      </rPr>
      <t xml:space="preserve">  </t>
    </r>
    <r>
      <rPr>
        <b/>
        <sz val="11"/>
        <rFont val="Times New Roman"/>
        <family val="1"/>
      </rPr>
      <t xml:space="preserve"> </t>
    </r>
    <r>
      <rPr>
        <b/>
        <sz val="10"/>
        <rFont val="Times New Roman"/>
        <family val="1"/>
      </rPr>
      <t>TOTAL DE ASIGNATURAS QUE INTEGRAN EL PLAN DE ESTUDIOS</t>
    </r>
  </si>
  <si>
    <t>Establecer el total de horas-clase que se dedicará a las asignaturas obligatorias y optativas, respectivamente.</t>
  </si>
  <si>
    <t>Indicar el total de horas independientes que se dedicará a las asignaturas obligatorias y optativas, respectivamente.</t>
  </si>
  <si>
    <t>Señalar el total de créditos establecidos para las asignaturas obligatorias y optativas, respectivamente.</t>
  </si>
  <si>
    <t>Sumas totales</t>
  </si>
  <si>
    <t>Presentar los resultados obtenidos de la sumatoria de horas bajo conducción docente e independientes y créditos de las asignaturas obligatorias y optativas, respectivamente.</t>
  </si>
  <si>
    <t>FLEXIBLE-Anexo 2 (B)</t>
  </si>
  <si>
    <r>
      <rPr>
        <b/>
        <sz val="9"/>
        <rFont val="Times New Roman"/>
        <family val="1"/>
      </rPr>
      <t>Apartado:</t>
    </r>
    <r>
      <rPr>
        <b/>
        <sz val="10"/>
        <rFont val="Times New Roman"/>
        <family val="1"/>
      </rPr>
      <t xml:space="preserve">   </t>
    </r>
    <r>
      <rPr>
        <b/>
        <sz val="10"/>
        <rFont val="Times New Roman"/>
        <family val="1"/>
      </rPr>
      <t>DISEÑO CURRICULAR FLEXIBLE</t>
    </r>
  </si>
  <si>
    <t>Área (o módulo)</t>
  </si>
  <si>
    <t>Indicar la forma en que se organizan las asignaturas, ya sea en "áreas" o "módulos". En el ejemplo, omitir el que no aplique para el plan de estudios.</t>
  </si>
  <si>
    <t>Enunciar la clave de la asignatura que previamente debió cursarse y que determina la secuencia temática con la actual. Para organización curricular por módulos este apartado es obligatorio.</t>
  </si>
  <si>
    <t>Proponer el número de horas que dedica el estudiante por ciclo para su estudio independiente.</t>
  </si>
  <si>
    <r>
      <rPr>
        <b/>
        <sz val="10"/>
        <color theme="1"/>
        <rFont val="Times New Roman"/>
        <family val="1"/>
      </rPr>
      <t>NOTA</t>
    </r>
    <r>
      <rPr>
        <sz val="10"/>
        <color theme="1"/>
        <rFont val="Times New Roman"/>
        <family val="1"/>
      </rPr>
      <t>: El número de filas dependerá de la cantidad de asignaturas que se oferten para el plan de estudios.</t>
    </r>
  </si>
  <si>
    <r>
      <rPr>
        <b/>
        <sz val="9"/>
        <rFont val="Times New Roman"/>
        <family val="1"/>
      </rPr>
      <t>Apartado:</t>
    </r>
    <r>
      <rPr>
        <b/>
        <sz val="10"/>
        <rFont val="Times New Roman"/>
        <family val="1"/>
      </rPr>
      <t xml:space="preserve">   </t>
    </r>
    <r>
      <rPr>
        <b/>
        <sz val="10"/>
        <rFont val="Times New Roman"/>
        <family val="1"/>
      </rPr>
      <t>ORGANIZACIÓN DEL PLAN DE ESTUDIOS</t>
    </r>
  </si>
  <si>
    <t xml:space="preserve">Señalar si se organiza en "áreas" o "módulos" (omitir el restante). Indicar en cada fila el nombre de las áreas o módulos que conforman el plan de estudios. </t>
  </si>
  <si>
    <t>Número de asignaturas</t>
  </si>
  <si>
    <t>Indicar el número de asignaturas que deberán cursarse en cada área (o módulo).</t>
  </si>
  <si>
    <t>Horas con académico</t>
  </si>
  <si>
    <t>Especificar el número de horas bajo conducción de un académico que se deberán cumplimentar en las asignaturas de cada área (o módulo).</t>
  </si>
  <si>
    <t>Horas independientes</t>
  </si>
  <si>
    <t>Exhibir el número de horas independientes que se deberán cumplimentar en las asignaturas de cada área (o módulo).</t>
  </si>
  <si>
    <t>Señalar el número de créditos que se deberán cumplimentar en las asignaturas de cada área (o módulo).</t>
  </si>
  <si>
    <t>Presentar los resultados obtenidos de la sumatoria de horas bajo conducción de un académico e independientes y créditos, correspondientes al número de asignaturas que deberán cursarse para acreditar el plan de estudios.</t>
  </si>
  <si>
    <r>
      <rPr>
        <b/>
        <sz val="9"/>
        <rFont val="Times New Roman"/>
        <family val="1"/>
      </rPr>
      <t xml:space="preserve">Apartado: </t>
    </r>
    <r>
      <rPr>
        <b/>
        <sz val="10"/>
        <rFont val="Times New Roman"/>
        <family val="1"/>
      </rPr>
      <t xml:space="preserve">  </t>
    </r>
    <r>
      <rPr>
        <b/>
        <sz val="10"/>
        <rFont val="Times New Roman"/>
        <family val="1"/>
      </rPr>
      <t>ADMINISTRACIÓN DEL PLAN DE ESTUDIOS</t>
    </r>
  </si>
  <si>
    <t>Describir las características de cada una de las áreas (o módulos) que integran el plan de estudios. Indicar el número mínimo y máximo de asignaturas que se cursarán por ciclo, así como la duración total del plan de estudios.</t>
  </si>
  <si>
    <t>INSTITUCIÓN: UNIVERSIDAD INTERNACIONAL DE GUANAJUATO</t>
  </si>
  <si>
    <t>PLAN DE ESTUDIOS: LICENCIATURA EN NUTRICIÓN (MODALIDAD ESCOLARIZADA)</t>
  </si>
  <si>
    <t>PRIMER SEMESTRE</t>
  </si>
  <si>
    <t>OBLIGATORIA</t>
  </si>
  <si>
    <t>Anatomía y fisiología humana</t>
  </si>
  <si>
    <t>Química de la nutrición</t>
  </si>
  <si>
    <t>Biología celular</t>
  </si>
  <si>
    <t>Fundamentos de la nutrición</t>
  </si>
  <si>
    <t>A</t>
  </si>
  <si>
    <t>A/L</t>
  </si>
  <si>
    <t>SEGUNDO SEMESTRE</t>
  </si>
  <si>
    <t>Fisiología de la nutrición</t>
  </si>
  <si>
    <t>Introducción a la evaluación del estado nutricio</t>
  </si>
  <si>
    <t>Antropología y soberanía alimentaria</t>
  </si>
  <si>
    <t>TERCER SEMESTRE</t>
  </si>
  <si>
    <t>Bioquímica metabólica I</t>
  </si>
  <si>
    <t>Nutrición y dietética en el ciclo de la vida I</t>
  </si>
  <si>
    <t>Psicología social y conducta alimentaria</t>
  </si>
  <si>
    <t>Microbiología de alimentos</t>
  </si>
  <si>
    <t>CUARTO SEMESTRE</t>
  </si>
  <si>
    <t>Bioquímica metabólica II</t>
  </si>
  <si>
    <t>Nutrición y dietética en el ciclo de la vida II</t>
  </si>
  <si>
    <t>Producción de alimentos y técnicas culinarias</t>
  </si>
  <si>
    <t>QUINTO SEMESTRE</t>
  </si>
  <si>
    <t>Fisiopatología</t>
  </si>
  <si>
    <t>Proceso de cuidado nutricional</t>
  </si>
  <si>
    <t>Calidad de la atención y seguridad del paciente</t>
  </si>
  <si>
    <t>A/CL</t>
  </si>
  <si>
    <t>SEXTO SEMESTRE</t>
  </si>
  <si>
    <t>Farmacología aplicada a la nutrición</t>
  </si>
  <si>
    <t>Metodología de la investigación</t>
  </si>
  <si>
    <t>A/C</t>
  </si>
  <si>
    <t>SÉPTIMO SEMESTRE</t>
  </si>
  <si>
    <t>Desarrollo e innovación de productos alimentarios</t>
  </si>
  <si>
    <t>Aseguramiento de calidad e inocuidad de alimentos</t>
  </si>
  <si>
    <t>CL</t>
  </si>
  <si>
    <t>OCTAVO SEMESTRE</t>
  </si>
  <si>
    <t>Integración de prácticas en nutrición clínica</t>
  </si>
  <si>
    <t>Integración de prácticas en nutrición poblacional</t>
  </si>
  <si>
    <t>Manejo integral de la obesidad y síndrome metabólico</t>
  </si>
  <si>
    <t>Nutrición y ejercicio físico</t>
  </si>
  <si>
    <t>OPT-501</t>
  </si>
  <si>
    <t>Aula / Laboratorio</t>
  </si>
  <si>
    <t>Alimentos funcionales</t>
  </si>
  <si>
    <t>Nutrición enteral y parenteral</t>
  </si>
  <si>
    <t>OPT-701</t>
  </si>
  <si>
    <t>Aula / Clínica de nutrición</t>
  </si>
  <si>
    <t>Genómica nutricional</t>
  </si>
  <si>
    <t>DISEÑO CURRICULAR FLEXIBLE POR ÁREAS</t>
  </si>
  <si>
    <t>Aula</t>
  </si>
  <si>
    <t>Clínica de nutrición</t>
  </si>
  <si>
    <t>Aula / Campo comunitario</t>
  </si>
  <si>
    <t>ORGANIZACIÓN DEL PLAN DE ESTUDIOS</t>
  </si>
  <si>
    <t>NÚMERO DE ASIGNATURAS</t>
  </si>
  <si>
    <t>HORAS CON ACADÉMICO</t>
  </si>
  <si>
    <t>ADMINISTRACIÓN DEL PLAN DE ESTUDIOS</t>
  </si>
  <si>
    <t>El plan de estudios se organiza en cuatro áreas: Ciencias básicas, Nutrición clínica, Nutrición poblacional y Alimentos y gestión. La trayectoria académica ideal comprende ocho semestres. En dicha trayectoria se cursan seis asignaturas por ciclo (mínimo 6 y máximo 6), respetando la seriación establecida. Del quinto al octavo semestre se integra una asignatura optativa por ciclo, seleccionada conforme a la oferta señalada en la hoja de asignaturas optativas. Para acreditar el plan se deberán cubrir los requerimientos totales de horas bajo conducción de un académico, horas independientes y créditos establecidos en el mapa curricular.</t>
  </si>
  <si>
    <t>LNB-801</t>
  </si>
  <si>
    <t>LNB-803</t>
  </si>
  <si>
    <t>Química de alimentos</t>
  </si>
  <si>
    <t xml:space="preserve">Principios de la administración </t>
  </si>
  <si>
    <t xml:space="preserve">Administración de servicios de alimentos </t>
  </si>
  <si>
    <t>Pensamiento crítico</t>
  </si>
  <si>
    <t xml:space="preserve">Análisis de alimentos </t>
  </si>
  <si>
    <t xml:space="preserve">Prácticas en servicios de alimentos </t>
  </si>
  <si>
    <t>Clínica de dietoterapia I</t>
  </si>
  <si>
    <t>Seminario de investigación</t>
  </si>
  <si>
    <t>Clínica de dietoterapia II</t>
  </si>
  <si>
    <t>Estrategias para la educación en salud y nutrición</t>
  </si>
  <si>
    <t>Manejo integral de la obesidad</t>
  </si>
  <si>
    <t>LNCS-102</t>
  </si>
  <si>
    <t>LNCS-105</t>
  </si>
  <si>
    <t>LNSHE-101</t>
  </si>
  <si>
    <t>LNCA-103</t>
  </si>
  <si>
    <t>LNCA-104</t>
  </si>
  <si>
    <t>Administración de servicios de alimentos</t>
  </si>
  <si>
    <t>Toma de decisiones ético-profesionales</t>
  </si>
  <si>
    <t>Nutrición en situaciones especiales de salud</t>
  </si>
  <si>
    <t xml:space="preserve"> Nutrición y ejercicio físico</t>
  </si>
  <si>
    <t>Emprendimiento</t>
  </si>
  <si>
    <t>Alimentación sostenible</t>
  </si>
  <si>
    <t>Ciencias de la salud y nutrición</t>
  </si>
  <si>
    <t>Ciencias naturales y de alimentos</t>
  </si>
  <si>
    <t>Ciencias sociales, humanidades y educación</t>
  </si>
  <si>
    <t>Gestión, investigación e interdisciplinariedad</t>
  </si>
  <si>
    <t xml:space="preserve">Gestión, investigación e interdisciplinariedad </t>
  </si>
  <si>
    <t>Nutrición y dietética en el ciclo de vida II</t>
  </si>
  <si>
    <t>Nutrición y dietética en el ciclo de vida I</t>
  </si>
  <si>
    <t xml:space="preserve">Química de alimentos </t>
  </si>
  <si>
    <t>Alimentos y bebidas nacionales e internacionales</t>
  </si>
  <si>
    <t>Desarrollo social</t>
  </si>
  <si>
    <t>Sistemas económicos y política pública</t>
  </si>
  <si>
    <t>Salud y políticas públicas aplicadas a la nutrición</t>
  </si>
  <si>
    <t xml:space="preserve">Principios de administración </t>
  </si>
  <si>
    <t>Taller sobre inserción laboral</t>
  </si>
  <si>
    <t>LNSHE-206</t>
  </si>
  <si>
    <t>LNCS-207</t>
  </si>
  <si>
    <t>LNCS-208</t>
  </si>
  <si>
    <t>LNSHE-209</t>
  </si>
  <si>
    <t>LNCA-210</t>
  </si>
  <si>
    <t>LNGII-211</t>
  </si>
  <si>
    <t>LNSHE-312</t>
  </si>
  <si>
    <t>LNSHE-313</t>
  </si>
  <si>
    <t>LNCA-314</t>
  </si>
  <si>
    <t>LNCS-315</t>
  </si>
  <si>
    <t>LNCS-316</t>
  </si>
  <si>
    <t>LNSHE-317</t>
  </si>
  <si>
    <t>LNCA-318</t>
  </si>
  <si>
    <t>LNGII-319</t>
  </si>
  <si>
    <t>LNSHE-420</t>
  </si>
  <si>
    <t>LNSHE-421</t>
  </si>
  <si>
    <t>LNCS-422</t>
  </si>
  <si>
    <t>LNCS-423</t>
  </si>
  <si>
    <t>LNCA-424</t>
  </si>
  <si>
    <t>LNCA-425</t>
  </si>
  <si>
    <t>LNGII-426</t>
  </si>
  <si>
    <t>LNSHE-527</t>
  </si>
  <si>
    <t>LNSHE-528</t>
  </si>
  <si>
    <t>LNGII-529</t>
  </si>
  <si>
    <t>LNCS-530</t>
  </si>
  <si>
    <t>LNCS-531</t>
  </si>
  <si>
    <t>LNSHE-532</t>
  </si>
  <si>
    <t>LNCA-533</t>
  </si>
  <si>
    <t>LNCS-534</t>
  </si>
  <si>
    <t>LNCS-635</t>
  </si>
  <si>
    <t>LNGII-636</t>
  </si>
  <si>
    <t>LNGII-637</t>
  </si>
  <si>
    <t>LNCS-638</t>
  </si>
  <si>
    <t>LNCS-639</t>
  </si>
  <si>
    <t>LNSHE-640</t>
  </si>
  <si>
    <t>LNCA-641</t>
  </si>
  <si>
    <t>LNGII-743</t>
  </si>
  <si>
    <t>LNGII-744</t>
  </si>
  <si>
    <t>LNCS-745</t>
  </si>
  <si>
    <t>LNSHE-746</t>
  </si>
  <si>
    <t>LNCA-747</t>
  </si>
  <si>
    <t>LNCA-748</t>
  </si>
  <si>
    <t>LNGII-749</t>
  </si>
  <si>
    <t>LNCA-750</t>
  </si>
  <si>
    <t>LNGII-851</t>
  </si>
  <si>
    <t>LNGII-852</t>
  </si>
  <si>
    <t>LNCS-853</t>
  </si>
  <si>
    <t>LNCS-854</t>
  </si>
  <si>
    <t>LNCS-855</t>
  </si>
  <si>
    <t>LNGII-856</t>
  </si>
  <si>
    <t>LNCS-857</t>
  </si>
  <si>
    <t>Humanística I. Identidad universitaria.</t>
  </si>
  <si>
    <t>Humanística II. La persona y su compromiso con el entorno y la sociedad.</t>
  </si>
  <si>
    <t>Humanística III. La persona y el compromiso con su ser trascendente.</t>
  </si>
  <si>
    <t>Humanística IV. La persona y el compromiso con el otro cercano</t>
  </si>
  <si>
    <t>Humanística V. La persona y su compromiso consigo misma</t>
  </si>
  <si>
    <t>Interdisciplinaria I. Dignidad humana</t>
  </si>
  <si>
    <t>Interdisciplinaria III. Sostenibilidad</t>
  </si>
  <si>
    <t>Interdisciplinaria IV. La vida de todos y de todas</t>
  </si>
  <si>
    <t>LNCS-642</t>
  </si>
  <si>
    <t>Tecnología de alimentos con compromiso social</t>
  </si>
  <si>
    <t xml:space="preserve">Humanística I. Identidad universitaria </t>
  </si>
  <si>
    <t>Humanística II. La persona y su compromiso con el entorno y la sociedad</t>
  </si>
  <si>
    <t>Humanística III. La persona y el compromiso con su ser trascendente</t>
  </si>
  <si>
    <t>Interdisciplinaria II. Ética</t>
  </si>
  <si>
    <t>Interdisciplinaria IV. La vida de todos y todas</t>
  </si>
  <si>
    <t xml:space="preserve">Aula </t>
  </si>
  <si>
    <t>Salud y Políticas Públicas aplicadas a la nutrición</t>
  </si>
  <si>
    <t>Fundamentos de nutrición enteral y parenteral</t>
  </si>
  <si>
    <t>Desarrollo Social</t>
  </si>
  <si>
    <t>Análisis de alimentos</t>
  </si>
  <si>
    <t>Prácticas en servicios de alimentos</t>
  </si>
  <si>
    <t xml:space="preserve">Fundamentos de nutrición enteral y parenteral. </t>
  </si>
  <si>
    <t>A/CC</t>
  </si>
  <si>
    <t>Introducción a la evaluación del estado nutricional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</si>
</sst>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6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Calibri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6"/>
      <name val="Times New Roman"/>
      <family val="1"/>
    </font>
    <font>
      <b/>
      <sz val="12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</font>
    <font>
      <sz val="8"/>
      <name val="Times New Roman"/>
      <family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-0.249977111117893"/>
        <bgColor indexed="65"/>
      </patternFill>
    </fill>
    <fill>
      <patternFill patternType="solid">
        <fgColor rgb="FFA9C4E4"/>
      </patternFill>
    </fill>
    <fill>
      <patternFill patternType="solid">
        <fgColor rgb="FFC6E0B4"/>
      </patternFill>
    </fill>
    <fill>
      <patternFill patternType="solid">
        <fgColor rgb="FF70AD47"/>
      </patternFill>
    </fill>
    <fill>
      <patternFill patternType="solid">
        <fgColor rgb="FFF4B183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A9C4E4"/>
      </patternFill>
    </fill>
    <fill>
      <patternFill patternType="solid">
        <fgColor rgb="FFC6E0B4"/>
      </patternFill>
    </fill>
    <fill>
      <patternFill patternType="solid">
        <fgColor rgb="FF70AD47"/>
      </patternFill>
    </fill>
    <fill>
      <patternFill patternType="solid">
        <fgColor rgb="FFF4B18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9">
    <xf numFmtId="0" fontId="0" fillId="0" borderId="0" xfId="0"/>
    <xf numFmtId="0" fontId="1" fillId="0" borderId="0" xfId="1"/>
    <xf numFmtId="0" fontId="2" fillId="0" borderId="0" xfId="1" applyFont="1"/>
    <xf numFmtId="0" fontId="3" fillId="2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top" wrapText="1"/>
    </xf>
    <xf numFmtId="0" fontId="8" fillId="2" borderId="0" xfId="1" applyFont="1" applyFill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/>
    <xf numFmtId="0" fontId="15" fillId="0" borderId="0" xfId="0" applyFont="1"/>
    <xf numFmtId="0" fontId="16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0" xfId="1" applyFont="1" applyAlignment="1">
      <alignment horizontal="justify" vertical="center" wrapText="1"/>
    </xf>
    <xf numFmtId="0" fontId="0" fillId="0" borderId="0" xfId="0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10" xfId="1" applyFont="1" applyBorder="1" applyAlignment="1">
      <alignment horizontal="justify" vertical="center" wrapText="1"/>
    </xf>
    <xf numFmtId="0" fontId="2" fillId="0" borderId="5" xfId="1" applyFont="1" applyBorder="1" applyAlignment="1">
      <alignment horizontal="justify" vertical="center" wrapText="1"/>
    </xf>
    <xf numFmtId="0" fontId="2" fillId="0" borderId="11" xfId="1" applyFont="1" applyBorder="1" applyAlignment="1">
      <alignment horizontal="justify" vertical="center" wrapText="1"/>
    </xf>
    <xf numFmtId="0" fontId="2" fillId="0" borderId="9" xfId="1" applyFont="1" applyBorder="1"/>
    <xf numFmtId="0" fontId="6" fillId="0" borderId="0" xfId="1" applyFont="1"/>
    <xf numFmtId="0" fontId="0" fillId="0" borderId="12" xfId="0" applyBorder="1"/>
    <xf numFmtId="0" fontId="0" fillId="0" borderId="9" xfId="0" applyBorder="1"/>
    <xf numFmtId="0" fontId="10" fillId="0" borderId="9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12" xfId="0" applyFont="1" applyBorder="1"/>
    <xf numFmtId="0" fontId="10" fillId="0" borderId="10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11" xfId="0" applyFont="1" applyBorder="1"/>
    <xf numFmtId="0" fontId="10" fillId="0" borderId="9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0" fontId="2" fillId="0" borderId="15" xfId="1" applyFont="1" applyBorder="1"/>
    <xf numFmtId="0" fontId="1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3" fillId="0" borderId="15" xfId="0" applyFont="1" applyBorder="1" applyAlignment="1">
      <alignment wrapText="1"/>
    </xf>
    <xf numFmtId="0" fontId="22" fillId="0" borderId="4" xfId="1" applyFont="1" applyBorder="1" applyAlignment="1">
      <alignment horizontal="center" vertical="center" wrapText="1"/>
    </xf>
    <xf numFmtId="0" fontId="13" fillId="7" borderId="0" xfId="0" applyFont="1" applyFill="1" applyAlignment="1">
      <alignment vertical="center" wrapText="1"/>
    </xf>
    <xf numFmtId="49" fontId="13" fillId="7" borderId="4" xfId="0" applyNumberFormat="1" applyFont="1" applyFill="1" applyBorder="1" applyAlignment="1">
      <alignment vertical="center" wrapText="1"/>
    </xf>
    <xf numFmtId="49" fontId="13" fillId="7" borderId="0" xfId="0" applyNumberFormat="1" applyFont="1" applyFill="1" applyAlignment="1">
      <alignment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11" fillId="9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2" fillId="7" borderId="4" xfId="1" applyFont="1" applyFill="1" applyBorder="1" applyAlignment="1">
      <alignment horizontal="center" vertical="center" wrapText="1"/>
    </xf>
    <xf numFmtId="0" fontId="4" fillId="14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horizontal="center" vertical="center"/>
    </xf>
    <xf numFmtId="0" fontId="22" fillId="14" borderId="4" xfId="1" applyFont="1" applyFill="1" applyBorder="1" applyAlignment="1">
      <alignment horizontal="center" vertical="center" wrapText="1"/>
    </xf>
    <xf numFmtId="2" fontId="22" fillId="13" borderId="4" xfId="1" applyNumberFormat="1" applyFont="1" applyFill="1" applyBorder="1" applyAlignment="1">
      <alignment horizontal="center" vertical="center" wrapText="1"/>
    </xf>
    <xf numFmtId="0" fontId="22" fillId="11" borderId="4" xfId="1" applyFont="1" applyFill="1" applyBorder="1" applyAlignment="1">
      <alignment horizontal="center" vertical="center" wrapText="1"/>
    </xf>
    <xf numFmtId="2" fontId="22" fillId="12" borderId="4" xfId="1" applyNumberFormat="1" applyFont="1" applyFill="1" applyBorder="1" applyAlignment="1">
      <alignment horizontal="center" vertical="center" wrapText="1"/>
    </xf>
    <xf numFmtId="49" fontId="13" fillId="11" borderId="4" xfId="0" applyNumberFormat="1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13" fillId="0" borderId="4" xfId="0" applyFont="1" applyBorder="1" applyAlignment="1">
      <alignment wrapText="1"/>
    </xf>
    <xf numFmtId="0" fontId="13" fillId="18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5" fillId="22" borderId="4" xfId="0" applyFont="1" applyFill="1" applyBorder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0" fontId="31" fillId="0" borderId="4" xfId="0" applyFont="1" applyBorder="1" applyAlignment="1">
      <alignment wrapText="1"/>
    </xf>
    <xf numFmtId="49" fontId="29" fillId="0" borderId="4" xfId="0" applyNumberFormat="1" applyFont="1" applyBorder="1" applyAlignment="1">
      <alignment vertical="center" wrapText="1"/>
    </xf>
    <xf numFmtId="49" fontId="27" fillId="11" borderId="4" xfId="0" applyNumberFormat="1" applyFont="1" applyFill="1" applyBorder="1" applyAlignment="1">
      <alignment vertical="center" wrapText="1"/>
    </xf>
    <xf numFmtId="0" fontId="13" fillId="22" borderId="4" xfId="0" applyFont="1" applyFill="1" applyBorder="1" applyAlignment="1">
      <alignment horizontal="center" vertical="center" wrapText="1"/>
    </xf>
    <xf numFmtId="0" fontId="17" fillId="23" borderId="7" xfId="0" applyFont="1" applyFill="1" applyBorder="1" applyAlignment="1">
      <alignment horizontal="center" vertical="center" wrapText="1"/>
    </xf>
    <xf numFmtId="0" fontId="17" fillId="25" borderId="0" xfId="0" applyFont="1" applyFill="1" applyAlignment="1">
      <alignment horizontal="center" vertical="center" wrapText="1"/>
    </xf>
    <xf numFmtId="49" fontId="13" fillId="0" borderId="0" xfId="0" applyNumberFormat="1" applyFont="1" applyAlignment="1">
      <alignment vertical="center" wrapText="1"/>
    </xf>
    <xf numFmtId="49" fontId="17" fillId="0" borderId="0" xfId="0" applyNumberFormat="1" applyFont="1" applyAlignment="1">
      <alignment horizontal="center" vertical="center" wrapText="1"/>
    </xf>
    <xf numFmtId="49" fontId="28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vertical="center" wrapText="1"/>
    </xf>
    <xf numFmtId="0" fontId="9" fillId="2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49" fontId="13" fillId="27" borderId="4" xfId="0" applyNumberFormat="1" applyFont="1" applyFill="1" applyBorder="1" applyAlignment="1">
      <alignment vertical="center" wrapText="1"/>
    </xf>
    <xf numFmtId="49" fontId="28" fillId="27" borderId="4" xfId="0" applyNumberFormat="1" applyFont="1" applyFill="1" applyBorder="1" applyAlignment="1">
      <alignment vertical="center" wrapText="1"/>
    </xf>
    <xf numFmtId="49" fontId="29" fillId="27" borderId="4" xfId="0" applyNumberFormat="1" applyFont="1" applyFill="1" applyBorder="1" applyAlignment="1">
      <alignment vertical="center" wrapText="1"/>
    </xf>
    <xf numFmtId="49" fontId="13" fillId="29" borderId="4" xfId="0" applyNumberFormat="1" applyFont="1" applyFill="1" applyBorder="1" applyAlignment="1">
      <alignment vertical="center" wrapText="1"/>
    </xf>
    <xf numFmtId="0" fontId="29" fillId="22" borderId="4" xfId="0" applyFont="1" applyFill="1" applyBorder="1" applyAlignment="1">
      <alignment horizontal="center" vertical="center" wrapText="1"/>
    </xf>
    <xf numFmtId="0" fontId="29" fillId="0" borderId="0" xfId="0" applyFont="1"/>
    <xf numFmtId="0" fontId="29" fillId="22" borderId="7" xfId="0" applyFont="1" applyFill="1" applyBorder="1" applyAlignment="1">
      <alignment horizontal="center" vertical="center" wrapText="1"/>
    </xf>
    <xf numFmtId="0" fontId="29" fillId="16" borderId="0" xfId="0" applyFont="1" applyFill="1" applyAlignment="1">
      <alignment horizontal="center" vertical="center" wrapText="1"/>
    </xf>
    <xf numFmtId="0" fontId="29" fillId="19" borderId="0" xfId="0" applyFont="1" applyFill="1" applyAlignment="1">
      <alignment horizontal="center" vertical="center" wrapText="1"/>
    </xf>
    <xf numFmtId="0" fontId="29" fillId="17" borderId="0" xfId="0" applyFont="1" applyFill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3" fillId="13" borderId="4" xfId="0" applyFont="1" applyFill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0" fontId="4" fillId="14" borderId="4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/>
    </xf>
    <xf numFmtId="0" fontId="4" fillId="13" borderId="4" xfId="1" applyFont="1" applyFill="1" applyBorder="1" applyAlignment="1">
      <alignment horizontal="center" vertical="center"/>
    </xf>
    <xf numFmtId="49" fontId="7" fillId="0" borderId="23" xfId="1" applyNumberFormat="1" applyFont="1" applyBorder="1" applyAlignment="1">
      <alignment horizontal="center" vertical="center"/>
    </xf>
    <xf numFmtId="49" fontId="7" fillId="0" borderId="18" xfId="1" applyNumberFormat="1" applyFont="1" applyBorder="1" applyAlignment="1">
      <alignment horizontal="center" vertical="center"/>
    </xf>
    <xf numFmtId="49" fontId="31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/>
    </xf>
    <xf numFmtId="49" fontId="13" fillId="22" borderId="4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29" fillId="0" borderId="0" xfId="0" applyFont="1" applyAlignment="1">
      <alignment horizontal="center" wrapText="1"/>
    </xf>
    <xf numFmtId="49" fontId="2" fillId="29" borderId="4" xfId="0" applyNumberFormat="1" applyFont="1" applyFill="1" applyBorder="1" applyAlignment="1">
      <alignment vertical="center" wrapText="1"/>
    </xf>
    <xf numFmtId="0" fontId="4" fillId="7" borderId="22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4" fillId="13" borderId="24" xfId="1" applyFont="1" applyFill="1" applyBorder="1" applyAlignment="1">
      <alignment horizontal="center" vertical="center"/>
    </xf>
    <xf numFmtId="0" fontId="4" fillId="13" borderId="25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4" fillId="14" borderId="22" xfId="1" applyFont="1" applyFill="1" applyBorder="1" applyAlignment="1">
      <alignment horizontal="center" vertical="center"/>
    </xf>
    <xf numFmtId="0" fontId="4" fillId="14" borderId="3" xfId="1" applyFont="1" applyFill="1" applyBorder="1" applyAlignment="1">
      <alignment horizontal="center" vertical="center"/>
    </xf>
    <xf numFmtId="49" fontId="28" fillId="0" borderId="10" xfId="0" applyNumberFormat="1" applyFont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49" fontId="17" fillId="0" borderId="11" xfId="0" applyNumberFormat="1" applyFont="1" applyBorder="1" applyAlignment="1">
      <alignment horizontal="center" vertical="center" wrapText="1"/>
    </xf>
    <xf numFmtId="49" fontId="17" fillId="0" borderId="9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12" xfId="0" applyNumberFormat="1" applyFont="1" applyBorder="1" applyAlignment="1">
      <alignment horizontal="center" vertical="center" wrapText="1"/>
    </xf>
    <xf numFmtId="49" fontId="17" fillId="0" borderId="13" xfId="0" applyNumberFormat="1" applyFont="1" applyBorder="1" applyAlignment="1">
      <alignment horizontal="center" vertical="center" wrapText="1"/>
    </xf>
    <xf numFmtId="49" fontId="17" fillId="0" borderId="14" xfId="0" applyNumberFormat="1" applyFont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49" fontId="17" fillId="0" borderId="10" xfId="0" applyNumberFormat="1" applyFont="1" applyBorder="1" applyAlignment="1">
      <alignment horizontal="center" vertical="center" wrapText="1"/>
    </xf>
    <xf numFmtId="49" fontId="17" fillId="28" borderId="1" xfId="0" applyNumberFormat="1" applyFont="1" applyFill="1" applyBorder="1" applyAlignment="1">
      <alignment horizontal="center" vertical="center" wrapText="1"/>
    </xf>
    <xf numFmtId="49" fontId="17" fillId="28" borderId="2" xfId="0" applyNumberFormat="1" applyFont="1" applyFill="1" applyBorder="1" applyAlignment="1">
      <alignment horizontal="center" vertical="center" wrapText="1"/>
    </xf>
    <xf numFmtId="49" fontId="17" fillId="28" borderId="3" xfId="0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2" fillId="0" borderId="0" xfId="1" applyFont="1" applyAlignment="1">
      <alignment horizontal="left" vertical="center" wrapText="1"/>
    </xf>
    <xf numFmtId="0" fontId="22" fillId="9" borderId="10" xfId="1" applyFont="1" applyFill="1" applyBorder="1" applyAlignment="1">
      <alignment horizontal="center" vertical="center" wrapText="1"/>
    </xf>
    <xf numFmtId="0" fontId="22" fillId="9" borderId="5" xfId="1" applyFont="1" applyFill="1" applyBorder="1" applyAlignment="1">
      <alignment horizontal="center" vertical="center" wrapText="1"/>
    </xf>
    <xf numFmtId="0" fontId="22" fillId="9" borderId="11" xfId="1" applyFont="1" applyFill="1" applyBorder="1" applyAlignment="1">
      <alignment horizontal="center" vertical="center" wrapText="1"/>
    </xf>
    <xf numFmtId="0" fontId="22" fillId="9" borderId="9" xfId="1" applyFont="1" applyFill="1" applyBorder="1" applyAlignment="1">
      <alignment horizontal="center" vertical="center" wrapText="1"/>
    </xf>
    <xf numFmtId="0" fontId="22" fillId="9" borderId="0" xfId="1" applyFont="1" applyFill="1" applyAlignment="1">
      <alignment horizontal="center" vertical="center" wrapText="1"/>
    </xf>
    <xf numFmtId="0" fontId="22" fillId="9" borderId="12" xfId="1" applyFont="1" applyFill="1" applyBorder="1" applyAlignment="1">
      <alignment horizontal="center" vertical="center" wrapText="1"/>
    </xf>
    <xf numFmtId="0" fontId="22" fillId="9" borderId="13" xfId="1" applyFont="1" applyFill="1" applyBorder="1" applyAlignment="1">
      <alignment horizontal="center" vertical="center" wrapText="1"/>
    </xf>
    <xf numFmtId="0" fontId="22" fillId="9" borderId="14" xfId="1" applyFont="1" applyFill="1" applyBorder="1" applyAlignment="1">
      <alignment horizontal="center" vertical="center" wrapText="1"/>
    </xf>
    <xf numFmtId="0" fontId="22" fillId="9" borderId="15" xfId="1" applyFont="1" applyFill="1" applyBorder="1" applyAlignment="1">
      <alignment horizontal="center" vertical="center" wrapText="1"/>
    </xf>
    <xf numFmtId="0" fontId="22" fillId="15" borderId="1" xfId="1" applyFont="1" applyFill="1" applyBorder="1" applyAlignment="1">
      <alignment horizontal="center" vertical="center" wrapText="1"/>
    </xf>
    <xf numFmtId="0" fontId="22" fillId="15" borderId="2" xfId="1" applyFont="1" applyFill="1" applyBorder="1" applyAlignment="1">
      <alignment horizontal="center" vertical="center" wrapText="1"/>
    </xf>
    <xf numFmtId="0" fontId="22" fillId="15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2" fontId="5" fillId="3" borderId="1" xfId="1" applyNumberFormat="1" applyFont="1" applyFill="1" applyBorder="1" applyAlignment="1">
      <alignment horizontal="center" vertical="center" wrapText="1"/>
    </xf>
    <xf numFmtId="2" fontId="5" fillId="3" borderId="2" xfId="1" applyNumberFormat="1" applyFont="1" applyFill="1" applyBorder="1" applyAlignment="1">
      <alignment horizontal="center" vertical="center" wrapText="1"/>
    </xf>
    <xf numFmtId="2" fontId="5" fillId="3" borderId="3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2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49" fontId="28" fillId="28" borderId="1" xfId="0" applyNumberFormat="1" applyFont="1" applyFill="1" applyBorder="1" applyAlignment="1">
      <alignment horizontal="center" vertical="center" wrapText="1"/>
    </xf>
    <xf numFmtId="49" fontId="17" fillId="7" borderId="1" xfId="0" applyNumberFormat="1" applyFont="1" applyFill="1" applyBorder="1" applyAlignment="1">
      <alignment horizontal="center" vertical="center" wrapText="1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8" borderId="6" xfId="0" applyNumberFormat="1" applyFont="1" applyFill="1" applyBorder="1" applyAlignment="1">
      <alignment horizontal="center" vertical="center" wrapText="1"/>
    </xf>
    <xf numFmtId="49" fontId="17" fillId="8" borderId="7" xfId="0" applyNumberFormat="1" applyFont="1" applyFill="1" applyBorder="1" applyAlignment="1">
      <alignment horizontal="center" vertical="center" wrapText="1"/>
    </xf>
    <xf numFmtId="49" fontId="17" fillId="8" borderId="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17" fillId="15" borderId="1" xfId="0" applyNumberFormat="1" applyFont="1" applyFill="1" applyBorder="1" applyAlignment="1">
      <alignment horizontal="center" vertical="center" wrapText="1"/>
    </xf>
    <xf numFmtId="49" fontId="17" fillId="15" borderId="2" xfId="0" applyNumberFormat="1" applyFont="1" applyFill="1" applyBorder="1" applyAlignment="1">
      <alignment horizontal="center" vertical="center" wrapText="1"/>
    </xf>
    <xf numFmtId="49" fontId="17" fillId="15" borderId="3" xfId="0" applyNumberFormat="1" applyFont="1" applyFill="1" applyBorder="1" applyAlignment="1">
      <alignment horizontal="center" vertical="center" wrapText="1"/>
    </xf>
    <xf numFmtId="49" fontId="28" fillId="8" borderId="6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49" fontId="28" fillId="0" borderId="5" xfId="0" applyNumberFormat="1" applyFont="1" applyBorder="1" applyAlignment="1">
      <alignment horizontal="center" vertical="center" wrapText="1"/>
    </xf>
    <xf numFmtId="49" fontId="28" fillId="0" borderId="11" xfId="0" applyNumberFormat="1" applyFont="1" applyBorder="1" applyAlignment="1">
      <alignment horizontal="center" vertical="center" wrapText="1"/>
    </xf>
    <xf numFmtId="49" fontId="28" fillId="0" borderId="9" xfId="0" applyNumberFormat="1" applyFont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 wrapText="1"/>
    </xf>
    <xf numFmtId="49" fontId="28" fillId="0" borderId="12" xfId="0" applyNumberFormat="1" applyFont="1" applyBorder="1" applyAlignment="1">
      <alignment horizontal="center" vertical="center" wrapText="1"/>
    </xf>
    <xf numFmtId="49" fontId="28" fillId="0" borderId="13" xfId="0" applyNumberFormat="1" applyFont="1" applyBorder="1" applyAlignment="1">
      <alignment horizontal="center" vertical="center" wrapText="1"/>
    </xf>
    <xf numFmtId="49" fontId="28" fillId="0" borderId="14" xfId="0" applyNumberFormat="1" applyFont="1" applyBorder="1" applyAlignment="1">
      <alignment horizontal="center" vertical="center" wrapText="1"/>
    </xf>
    <xf numFmtId="49" fontId="28" fillId="0" borderId="15" xfId="0" applyNumberFormat="1" applyFont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4" fillId="8" borderId="4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28" fillId="23" borderId="6" xfId="0" applyFont="1" applyFill="1" applyBorder="1" applyAlignment="1">
      <alignment horizontal="center" vertical="center" wrapText="1"/>
    </xf>
    <xf numFmtId="0" fontId="17" fillId="23" borderId="7" xfId="0" applyFont="1" applyFill="1" applyBorder="1" applyAlignment="1">
      <alignment horizontal="center" vertical="center" wrapText="1"/>
    </xf>
    <xf numFmtId="0" fontId="17" fillId="23" borderId="8" xfId="0" applyFont="1" applyFill="1" applyBorder="1" applyAlignment="1">
      <alignment horizontal="center" vertical="center" wrapText="1"/>
    </xf>
    <xf numFmtId="0" fontId="17" fillId="23" borderId="0" xfId="0" applyFont="1" applyFill="1" applyAlignment="1">
      <alignment horizontal="center" vertical="center" wrapText="1"/>
    </xf>
    <xf numFmtId="0" fontId="17" fillId="23" borderId="4" xfId="0" applyFont="1" applyFill="1" applyBorder="1" applyAlignment="1">
      <alignment horizontal="center" vertical="center" wrapText="1"/>
    </xf>
    <xf numFmtId="0" fontId="17" fillId="23" borderId="6" xfId="0" applyFont="1" applyFill="1" applyBorder="1" applyAlignment="1">
      <alignment horizontal="center" vertical="center" wrapText="1"/>
    </xf>
    <xf numFmtId="0" fontId="28" fillId="24" borderId="8" xfId="0" applyFont="1" applyFill="1" applyBorder="1" applyAlignment="1">
      <alignment horizontal="center" vertical="center" wrapText="1"/>
    </xf>
    <xf numFmtId="0" fontId="17" fillId="24" borderId="0" xfId="0" applyFont="1" applyFill="1" applyAlignment="1">
      <alignment horizontal="center" vertical="center" wrapText="1"/>
    </xf>
    <xf numFmtId="0" fontId="17" fillId="24" borderId="4" xfId="0" applyFont="1" applyFill="1" applyBorder="1" applyAlignment="1">
      <alignment horizontal="center" vertical="center" wrapText="1"/>
    </xf>
    <xf numFmtId="0" fontId="17" fillId="24" borderId="6" xfId="0" applyFont="1" applyFill="1" applyBorder="1" applyAlignment="1">
      <alignment horizontal="center" vertical="center" wrapText="1"/>
    </xf>
    <xf numFmtId="0" fontId="17" fillId="24" borderId="7" xfId="0" applyFont="1" applyFill="1" applyBorder="1" applyAlignment="1">
      <alignment horizontal="center" vertical="center" wrapText="1"/>
    </xf>
    <xf numFmtId="0" fontId="17" fillId="24" borderId="8" xfId="0" applyFont="1" applyFill="1" applyBorder="1" applyAlignment="1">
      <alignment horizontal="center" vertical="center" wrapText="1"/>
    </xf>
    <xf numFmtId="0" fontId="28" fillId="25" borderId="0" xfId="0" applyFont="1" applyFill="1" applyAlignment="1">
      <alignment horizontal="center" vertical="center" wrapText="1"/>
    </xf>
    <xf numFmtId="0" fontId="17" fillId="25" borderId="0" xfId="0" applyFont="1" applyFill="1" applyAlignment="1">
      <alignment horizontal="center" vertical="center" wrapText="1"/>
    </xf>
    <xf numFmtId="0" fontId="28" fillId="26" borderId="0" xfId="0" applyFont="1" applyFill="1" applyAlignment="1">
      <alignment horizontal="center" vertical="center" wrapText="1"/>
    </xf>
    <xf numFmtId="0" fontId="17" fillId="26" borderId="0" xfId="0" applyFont="1" applyFill="1" applyAlignment="1">
      <alignment horizontal="center" vertical="center" wrapText="1"/>
    </xf>
    <xf numFmtId="0" fontId="18" fillId="20" borderId="0" xfId="0" applyFont="1" applyFill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4" fillId="21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2" fillId="9" borderId="13" xfId="1" applyFont="1" applyFill="1" applyBorder="1" applyAlignment="1">
      <alignment horizontal="left" vertical="center" wrapText="1"/>
    </xf>
    <xf numFmtId="0" fontId="2" fillId="9" borderId="14" xfId="1" applyFont="1" applyFill="1" applyBorder="1" applyAlignment="1">
      <alignment horizontal="left" vertical="center" wrapText="1"/>
    </xf>
    <xf numFmtId="0" fontId="2" fillId="9" borderId="14" xfId="1" applyFont="1" applyFill="1" applyBorder="1" applyAlignment="1">
      <alignment horizontal="justify" vertical="center" wrapText="1"/>
    </xf>
    <xf numFmtId="0" fontId="2" fillId="9" borderId="15" xfId="1" applyFont="1" applyFill="1" applyBorder="1" applyAlignment="1">
      <alignment horizontal="justify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justify" vertical="center" wrapText="1"/>
    </xf>
    <xf numFmtId="0" fontId="2" fillId="0" borderId="3" xfId="1" applyFont="1" applyBorder="1" applyAlignment="1">
      <alignment horizontal="justify" vertical="center" wrapText="1"/>
    </xf>
    <xf numFmtId="0" fontId="2" fillId="9" borderId="1" xfId="1" applyFont="1" applyFill="1" applyBorder="1" applyAlignment="1">
      <alignment horizontal="left" vertical="center" wrapText="1"/>
    </xf>
    <xf numFmtId="0" fontId="2" fillId="9" borderId="2" xfId="1" applyFont="1" applyFill="1" applyBorder="1" applyAlignment="1">
      <alignment horizontal="left" vertical="center" wrapText="1"/>
    </xf>
    <xf numFmtId="0" fontId="2" fillId="9" borderId="2" xfId="1" applyFont="1" applyFill="1" applyBorder="1" applyAlignment="1">
      <alignment horizontal="justify" vertical="center" wrapText="1"/>
    </xf>
    <xf numFmtId="0" fontId="2" fillId="9" borderId="3" xfId="1" applyFont="1" applyFill="1" applyBorder="1" applyAlignment="1">
      <alignment horizontal="justify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7" fillId="8" borderId="4" xfId="1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8" borderId="14" xfId="1" applyFont="1" applyFill="1" applyBorder="1" applyAlignment="1">
      <alignment vertical="center" wrapText="1"/>
    </xf>
    <xf numFmtId="0" fontId="23" fillId="8" borderId="4" xfId="1" applyFont="1" applyFill="1" applyBorder="1" applyAlignment="1">
      <alignment horizont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" fillId="0" borderId="13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justify" vertical="center" wrapText="1"/>
    </xf>
    <xf numFmtId="0" fontId="2" fillId="0" borderId="15" xfId="1" applyFont="1" applyBorder="1" applyAlignment="1">
      <alignment horizontal="justify" vertical="center" wrapText="1"/>
    </xf>
    <xf numFmtId="0" fontId="2" fillId="9" borderId="4" xfId="1" applyFont="1" applyFill="1" applyBorder="1" applyAlignment="1">
      <alignment horizontal="justify" vertical="top" wrapText="1"/>
    </xf>
    <xf numFmtId="0" fontId="6" fillId="8" borderId="6" xfId="1" applyFont="1" applyFill="1" applyBorder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6" fillId="8" borderId="4" xfId="1" applyFont="1" applyFill="1" applyBorder="1" applyAlignment="1">
      <alignment horizontal="center" wrapText="1"/>
    </xf>
    <xf numFmtId="0" fontId="2" fillId="0" borderId="0" xfId="1" applyFont="1" applyAlignment="1">
      <alignment horizontal="justify" vertical="center" wrapText="1"/>
    </xf>
    <xf numFmtId="0" fontId="2" fillId="0" borderId="12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B48CFF"/>
      <color rgb="FFA84A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986416</xdr:colOff>
      <xdr:row>60</xdr:row>
      <xdr:rowOff>97286</xdr:rowOff>
    </xdr:from>
    <xdr:to>
      <xdr:col>2</xdr:col>
      <xdr:colOff>272041</xdr:colOff>
      <xdr:row>60</xdr:row>
      <xdr:rowOff>97286</xdr:rowOff>
    </xdr:to>
    <xdr:sp macro="" textlink="">
      <xdr:nvSpPr>
        <xdr:cNvPr id="2" name="Conector recto de flech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 flipV="1">
          <a:off x="986416" y="14407198"/>
          <a:ext cx="45103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 editAs="oneCell">
    <xdr:from>
      <xdr:col>4</xdr:col>
      <xdr:colOff>119063</xdr:colOff>
      <xdr:row>60</xdr:row>
      <xdr:rowOff>107950</xdr:rowOff>
    </xdr:from>
    <xdr:to>
      <xdr:col>5</xdr:col>
      <xdr:colOff>236055</xdr:colOff>
      <xdr:row>61</xdr:row>
      <xdr:rowOff>87190</xdr:rowOff>
    </xdr:to>
    <xdr:sp macro="" textlink="">
      <xdr:nv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 flipH="1" flipV="1">
          <a:off x="1633538" y="14528800"/>
          <a:ext cx="576262" cy="2444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619125</xdr:colOff>
      <xdr:row>41</xdr:row>
      <xdr:rowOff>47625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619125</xdr:colOff>
      <xdr:row>41</xdr:row>
      <xdr:rowOff>47625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619125</xdr:colOff>
      <xdr:row>41</xdr:row>
      <xdr:rowOff>47625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190500</xdr:colOff>
      <xdr:row>42</xdr:row>
      <xdr:rowOff>0</xdr:rowOff>
    </xdr:to>
    <xdr:sp macro="" textlink="">
      <xdr:nvSpPr>
        <xdr:cNvPr id="6" name="AutoShap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190500</xdr:colOff>
      <xdr:row>42</xdr:row>
      <xdr:rowOff>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3"/>
  <sheetViews>
    <sheetView tabSelected="1" zoomScale="92" zoomScaleNormal="65" workbookViewId="0">
      <pane xSplit="1" topLeftCell="AA1" activePane="topRight" state="frozen"/>
      <selection activeCell="A7" sqref="A7"/>
      <selection pane="topRight" activeCell="C7" sqref="C7:E7"/>
    </sheetView>
  </sheetViews>
  <sheetFormatPr baseColWidth="10" defaultColWidth="11.42578125" defaultRowHeight="12.75" x14ac:dyDescent="0.25"/>
  <cols>
    <col min="1" max="1" width="17" style="40" customWidth="1"/>
    <col min="2" max="2" width="0.42578125" style="40" customWidth="1"/>
    <col min="3" max="3" width="4.7109375" style="40" customWidth="1"/>
    <col min="4" max="4" width="0.42578125" style="40" customWidth="1"/>
    <col min="5" max="5" width="6.85546875" style="40" customWidth="1"/>
    <col min="6" max="6" width="10.42578125" style="40" bestFit="1" customWidth="1"/>
    <col min="7" max="7" width="14.28515625" style="40" customWidth="1"/>
    <col min="8" max="8" width="0.42578125" style="40" customWidth="1"/>
    <col min="9" max="9" width="4.7109375" style="40" customWidth="1"/>
    <col min="10" max="10" width="0.42578125" style="40" customWidth="1"/>
    <col min="11" max="11" width="6.5703125" style="40" customWidth="1"/>
    <col min="12" max="12" width="9.5703125" style="40" bestFit="1" customWidth="1"/>
    <col min="13" max="13" width="14.28515625" style="40" customWidth="1"/>
    <col min="14" max="14" width="0.42578125" style="40" customWidth="1"/>
    <col min="15" max="15" width="4.7109375" style="40" customWidth="1"/>
    <col min="16" max="16" width="0.42578125" style="40" customWidth="1"/>
    <col min="17" max="17" width="4.7109375" style="40" customWidth="1"/>
    <col min="18" max="18" width="9.140625" style="40" customWidth="1"/>
    <col min="19" max="19" width="14.28515625" style="40" customWidth="1"/>
    <col min="20" max="20" width="0.42578125" style="40" customWidth="1"/>
    <col min="21" max="21" width="4.7109375" style="40" customWidth="1"/>
    <col min="22" max="22" width="0.42578125" style="40" customWidth="1"/>
    <col min="23" max="23" width="5.7109375" style="40" customWidth="1"/>
    <col min="24" max="24" width="9" style="40" customWidth="1"/>
    <col min="25" max="25" width="14.28515625" style="40" customWidth="1"/>
    <col min="26" max="26" width="0.42578125" style="40" customWidth="1"/>
    <col min="27" max="27" width="4.7109375" style="40" customWidth="1"/>
    <col min="28" max="28" width="0.42578125" style="40" customWidth="1"/>
    <col min="29" max="29" width="4.7109375" style="40" customWidth="1"/>
    <col min="30" max="30" width="8.7109375" style="40" bestFit="1" customWidth="1"/>
    <col min="31" max="31" width="14.28515625" style="40" customWidth="1"/>
    <col min="32" max="32" width="0.42578125" style="40" customWidth="1"/>
    <col min="33" max="33" width="4.7109375" style="40" customWidth="1"/>
    <col min="34" max="34" width="0.42578125" style="40" customWidth="1"/>
    <col min="35" max="35" width="6.85546875" style="40" customWidth="1"/>
    <col min="36" max="36" width="8.42578125" style="40" customWidth="1"/>
    <col min="37" max="37" width="14.28515625" style="40" customWidth="1"/>
    <col min="38" max="38" width="0.42578125" style="40" customWidth="1"/>
    <col min="39" max="39" width="3.7109375" style="40" bestFit="1" customWidth="1"/>
    <col min="40" max="40" width="1" style="40" customWidth="1"/>
    <col min="41" max="41" width="5.42578125" style="40" customWidth="1"/>
    <col min="42" max="42" width="9.28515625" style="40" customWidth="1"/>
    <col min="43" max="43" width="14.140625" style="40" bestFit="1" customWidth="1"/>
    <col min="44" max="44" width="0.85546875" style="40" customWidth="1"/>
    <col min="45" max="45" width="3.7109375" style="40" bestFit="1" customWidth="1"/>
    <col min="46" max="46" width="0.42578125" style="40" customWidth="1"/>
    <col min="47" max="47" width="5.85546875" style="40" customWidth="1"/>
    <col min="48" max="48" width="9.42578125" style="40" customWidth="1"/>
    <col min="49" max="49" width="14.140625" style="40" bestFit="1" customWidth="1"/>
    <col min="50" max="50" width="13.140625" style="40" customWidth="1"/>
    <col min="51" max="51" width="6.7109375" style="40" customWidth="1"/>
    <col min="52" max="52" width="7.140625" style="40" customWidth="1"/>
    <col min="53" max="16384" width="11.42578125" style="40"/>
  </cols>
  <sheetData>
    <row r="1" spans="1:52" ht="19.5" customHeight="1" x14ac:dyDescent="0.25">
      <c r="AY1" s="177" t="s">
        <v>0</v>
      </c>
      <c r="AZ1" s="177"/>
    </row>
    <row r="2" spans="1:52" ht="26.25" customHeight="1" x14ac:dyDescent="0.25">
      <c r="O2" s="182" t="s">
        <v>1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52" ht="32.25" customHeight="1" x14ac:dyDescent="0.25">
      <c r="O3" s="177" t="s">
        <v>96</v>
      </c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52" ht="30" customHeight="1" x14ac:dyDescent="0.25">
      <c r="O4" s="177" t="s">
        <v>97</v>
      </c>
      <c r="P4" s="184"/>
      <c r="Q4" s="184"/>
      <c r="R4" s="184"/>
      <c r="S4" s="184"/>
      <c r="T4" s="184"/>
      <c r="U4" s="184"/>
      <c r="V4" s="184"/>
      <c r="W4" s="184"/>
      <c r="X4" s="184"/>
      <c r="Y4" s="184"/>
    </row>
    <row r="6" spans="1:52" ht="24.75" customHeight="1" x14ac:dyDescent="0.25">
      <c r="A6" s="51" t="s">
        <v>2</v>
      </c>
    </row>
    <row r="7" spans="1:52" ht="24.75" customHeight="1" x14ac:dyDescent="0.25">
      <c r="A7" s="181" t="s">
        <v>98</v>
      </c>
      <c r="B7" s="50"/>
      <c r="C7" s="178" t="s">
        <v>168</v>
      </c>
      <c r="D7" s="179"/>
      <c r="E7" s="180"/>
      <c r="F7" s="42"/>
      <c r="G7" s="64" t="s">
        <v>99</v>
      </c>
      <c r="H7" s="50"/>
      <c r="I7" s="136" t="s">
        <v>166</v>
      </c>
      <c r="J7" s="137"/>
      <c r="K7" s="138"/>
      <c r="L7" s="42"/>
      <c r="M7" s="64" t="s">
        <v>99</v>
      </c>
      <c r="N7" s="50"/>
      <c r="O7" s="170" t="s">
        <v>169</v>
      </c>
      <c r="P7" s="137"/>
      <c r="Q7" s="138"/>
      <c r="R7" s="42"/>
      <c r="S7" s="64" t="s">
        <v>99</v>
      </c>
      <c r="T7" s="50"/>
      <c r="U7" s="170" t="s">
        <v>170</v>
      </c>
      <c r="V7" s="137"/>
      <c r="W7" s="138"/>
      <c r="X7" s="42"/>
      <c r="Y7" s="73" t="s">
        <v>99</v>
      </c>
      <c r="Z7" s="50"/>
      <c r="AA7" s="136" t="s">
        <v>167</v>
      </c>
      <c r="AB7" s="137"/>
      <c r="AC7" s="138"/>
      <c r="AD7" s="42"/>
      <c r="AE7" s="83" t="s">
        <v>99</v>
      </c>
      <c r="AF7" s="50"/>
      <c r="AG7"/>
      <c r="AH7"/>
      <c r="AI7"/>
      <c r="AJ7"/>
      <c r="AK7"/>
      <c r="AL7" s="77"/>
      <c r="AM7" s="77"/>
      <c r="AN7" s="77"/>
      <c r="AO7" s="77"/>
      <c r="AP7" s="77"/>
    </row>
    <row r="8" spans="1:52" ht="19.5" customHeight="1" x14ac:dyDescent="0.25">
      <c r="A8" s="175"/>
      <c r="B8" s="50"/>
      <c r="C8" s="135" t="s">
        <v>242</v>
      </c>
      <c r="D8" s="127"/>
      <c r="E8" s="127"/>
      <c r="F8" s="127"/>
      <c r="G8" s="128"/>
      <c r="H8" s="50"/>
      <c r="I8" s="135" t="s">
        <v>100</v>
      </c>
      <c r="J8" s="127"/>
      <c r="K8" s="127"/>
      <c r="L8" s="127"/>
      <c r="M8" s="128"/>
      <c r="N8" s="50"/>
      <c r="O8" s="135" t="s">
        <v>101</v>
      </c>
      <c r="P8" s="127"/>
      <c r="Q8" s="127"/>
      <c r="R8" s="127"/>
      <c r="S8" s="128"/>
      <c r="T8" s="50"/>
      <c r="U8" s="135" t="s">
        <v>102</v>
      </c>
      <c r="V8" s="127"/>
      <c r="W8" s="127"/>
      <c r="X8" s="127"/>
      <c r="Y8" s="128"/>
      <c r="Z8" s="50"/>
      <c r="AA8" s="135" t="s">
        <v>103</v>
      </c>
      <c r="AB8" s="127"/>
      <c r="AC8" s="127"/>
      <c r="AD8" s="127"/>
      <c r="AE8" s="128"/>
      <c r="AF8" s="50"/>
      <c r="AG8"/>
      <c r="AH8"/>
      <c r="AI8"/>
      <c r="AJ8"/>
      <c r="AK8"/>
      <c r="AL8" s="78"/>
      <c r="AM8" s="78"/>
      <c r="AN8" s="78"/>
      <c r="AO8" s="78"/>
      <c r="AP8" s="78"/>
      <c r="AY8" s="57" t="s">
        <v>3</v>
      </c>
      <c r="AZ8" s="93">
        <f>C11+I11+O11+U11+AA11+AG11</f>
        <v>640</v>
      </c>
    </row>
    <row r="9" spans="1:52" ht="19.5" customHeight="1" x14ac:dyDescent="0.25">
      <c r="A9" s="175"/>
      <c r="B9" s="50"/>
      <c r="C9" s="129"/>
      <c r="D9" s="130"/>
      <c r="E9" s="130"/>
      <c r="F9" s="130"/>
      <c r="G9" s="131"/>
      <c r="H9" s="50"/>
      <c r="I9" s="129"/>
      <c r="J9" s="130"/>
      <c r="K9" s="130"/>
      <c r="L9" s="130"/>
      <c r="M9" s="131"/>
      <c r="N9" s="50"/>
      <c r="O9" s="129"/>
      <c r="P9" s="130"/>
      <c r="Q9" s="130"/>
      <c r="R9" s="130"/>
      <c r="S9" s="131"/>
      <c r="T9" s="50"/>
      <c r="U9" s="129"/>
      <c r="V9" s="130"/>
      <c r="W9" s="130"/>
      <c r="X9" s="130"/>
      <c r="Y9" s="131"/>
      <c r="Z9" s="50"/>
      <c r="AA9" s="129"/>
      <c r="AB9" s="130"/>
      <c r="AC9" s="130"/>
      <c r="AD9" s="130"/>
      <c r="AE9" s="131"/>
      <c r="AF9" s="50"/>
      <c r="AG9"/>
      <c r="AH9"/>
      <c r="AI9"/>
      <c r="AJ9"/>
      <c r="AK9"/>
      <c r="AL9" s="78"/>
      <c r="AM9" s="78"/>
      <c r="AN9" s="78"/>
      <c r="AO9" s="78"/>
      <c r="AP9" s="78"/>
      <c r="AY9" s="58" t="s">
        <v>4</v>
      </c>
      <c r="AZ9" s="93">
        <f>E11+K11+Q11+W11+AC11</f>
        <v>320</v>
      </c>
    </row>
    <row r="10" spans="1:52" ht="19.5" customHeight="1" x14ac:dyDescent="0.25">
      <c r="A10" s="175"/>
      <c r="B10" s="50"/>
      <c r="C10" s="132"/>
      <c r="D10" s="133"/>
      <c r="E10" s="133"/>
      <c r="F10" s="133"/>
      <c r="G10" s="134"/>
      <c r="H10" s="50"/>
      <c r="I10" s="132"/>
      <c r="J10" s="133"/>
      <c r="K10" s="133"/>
      <c r="L10" s="133"/>
      <c r="M10" s="134"/>
      <c r="N10" s="50"/>
      <c r="O10" s="132"/>
      <c r="P10" s="133"/>
      <c r="Q10" s="133"/>
      <c r="R10" s="133"/>
      <c r="S10" s="134"/>
      <c r="T10" s="50"/>
      <c r="U10" s="132"/>
      <c r="V10" s="133"/>
      <c r="W10" s="133"/>
      <c r="X10" s="133"/>
      <c r="Y10" s="134"/>
      <c r="Z10" s="50"/>
      <c r="AA10" s="132"/>
      <c r="AB10" s="133"/>
      <c r="AC10" s="133"/>
      <c r="AD10" s="133"/>
      <c r="AE10" s="134"/>
      <c r="AF10" s="50"/>
      <c r="AG10"/>
      <c r="AH10"/>
      <c r="AI10"/>
      <c r="AJ10"/>
      <c r="AK10"/>
      <c r="AL10" s="78"/>
      <c r="AM10" s="78"/>
      <c r="AN10" s="78"/>
      <c r="AO10" s="78"/>
      <c r="AP10" s="78"/>
      <c r="AY10" s="59" t="s">
        <v>5</v>
      </c>
      <c r="AZ10" s="93">
        <f>F11+L11+R11+X11+AD11</f>
        <v>60</v>
      </c>
    </row>
    <row r="11" spans="1:52" ht="19.5" customHeight="1" x14ac:dyDescent="0.25">
      <c r="A11" s="176"/>
      <c r="B11" s="50"/>
      <c r="C11" s="94">
        <v>128</v>
      </c>
      <c r="D11" s="42"/>
      <c r="E11" s="95">
        <v>64</v>
      </c>
      <c r="F11" s="96">
        <v>12</v>
      </c>
      <c r="G11" s="86" t="s">
        <v>104</v>
      </c>
      <c r="H11" s="50"/>
      <c r="I11" s="94">
        <v>128</v>
      </c>
      <c r="J11" s="42"/>
      <c r="K11" s="95">
        <v>64</v>
      </c>
      <c r="L11" s="96">
        <v>12</v>
      </c>
      <c r="M11" s="86" t="s">
        <v>105</v>
      </c>
      <c r="N11" s="50"/>
      <c r="O11" s="94">
        <v>128</v>
      </c>
      <c r="P11" s="42"/>
      <c r="Q11" s="95">
        <v>64</v>
      </c>
      <c r="R11" s="96">
        <v>12</v>
      </c>
      <c r="S11" s="86" t="s">
        <v>105</v>
      </c>
      <c r="T11" s="50"/>
      <c r="U11" s="94">
        <v>128</v>
      </c>
      <c r="V11" s="42"/>
      <c r="W11" s="95">
        <v>64</v>
      </c>
      <c r="X11" s="96">
        <v>12</v>
      </c>
      <c r="Y11" s="86" t="s">
        <v>105</v>
      </c>
      <c r="Z11" s="50"/>
      <c r="AA11" s="94">
        <v>128</v>
      </c>
      <c r="AB11" s="42"/>
      <c r="AC11" s="95">
        <v>64</v>
      </c>
      <c r="AD11" s="96">
        <v>12</v>
      </c>
      <c r="AE11" s="86" t="s">
        <v>104</v>
      </c>
      <c r="AF11" s="50"/>
      <c r="AG11"/>
      <c r="AH11"/>
      <c r="AI11"/>
      <c r="AJ11"/>
      <c r="AK11"/>
      <c r="AL11" s="77"/>
      <c r="AM11" s="77"/>
      <c r="AN11" s="77"/>
      <c r="AO11" s="77"/>
      <c r="AP11" s="77"/>
    </row>
    <row r="12" spans="1:52" ht="5.25" customHeight="1" x14ac:dyDescent="0.25">
      <c r="A12" s="55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/>
      <c r="AN12"/>
      <c r="AO12"/>
      <c r="AP12"/>
    </row>
    <row r="13" spans="1:52" ht="19.5" customHeight="1" x14ac:dyDescent="0.25">
      <c r="A13" s="174" t="s">
        <v>106</v>
      </c>
      <c r="B13" s="50"/>
      <c r="C13" s="136" t="s">
        <v>191</v>
      </c>
      <c r="D13" s="137"/>
      <c r="E13" s="138"/>
      <c r="F13" s="42" t="s">
        <v>168</v>
      </c>
      <c r="G13" s="83" t="s">
        <v>99</v>
      </c>
      <c r="H13" s="50"/>
      <c r="I13" s="136" t="s">
        <v>192</v>
      </c>
      <c r="J13" s="137"/>
      <c r="K13" s="138"/>
      <c r="L13" s="42"/>
      <c r="M13" s="83" t="s">
        <v>99</v>
      </c>
      <c r="N13" s="50"/>
      <c r="O13" s="136" t="s">
        <v>193</v>
      </c>
      <c r="P13" s="137"/>
      <c r="Q13" s="138"/>
      <c r="R13" s="42"/>
      <c r="S13" s="64" t="s">
        <v>99</v>
      </c>
      <c r="T13" s="50"/>
      <c r="U13" s="136" t="s">
        <v>194</v>
      </c>
      <c r="V13" s="137"/>
      <c r="W13" s="138"/>
      <c r="X13" s="42"/>
      <c r="Y13" s="83" t="s">
        <v>99</v>
      </c>
      <c r="Z13" s="50"/>
      <c r="AA13" s="136" t="s">
        <v>195</v>
      </c>
      <c r="AB13" s="137"/>
      <c r="AC13" s="138"/>
      <c r="AD13" s="72"/>
      <c r="AE13" s="83" t="s">
        <v>99</v>
      </c>
      <c r="AF13" s="50"/>
      <c r="AG13" s="136" t="s">
        <v>196</v>
      </c>
      <c r="AH13" s="137"/>
      <c r="AI13" s="138"/>
      <c r="AJ13" s="42"/>
      <c r="AK13" s="83" t="s">
        <v>99</v>
      </c>
      <c r="AL13" s="50"/>
      <c r="AM13" s="77"/>
      <c r="AN13" s="77"/>
      <c r="AO13" s="77"/>
      <c r="AP13" s="77"/>
    </row>
    <row r="14" spans="1:52" ht="19.5" customHeight="1" x14ac:dyDescent="0.25">
      <c r="A14" s="175"/>
      <c r="B14" s="50"/>
      <c r="C14" s="135" t="s">
        <v>243</v>
      </c>
      <c r="D14" s="127"/>
      <c r="E14" s="127"/>
      <c r="F14" s="127"/>
      <c r="G14" s="128"/>
      <c r="H14" s="50"/>
      <c r="I14" s="135" t="s">
        <v>107</v>
      </c>
      <c r="J14" s="127"/>
      <c r="K14" s="127"/>
      <c r="L14" s="127"/>
      <c r="M14" s="128"/>
      <c r="N14" s="50"/>
      <c r="O14" s="135" t="s">
        <v>265</v>
      </c>
      <c r="P14" s="127"/>
      <c r="Q14" s="127"/>
      <c r="R14" s="127"/>
      <c r="S14" s="128"/>
      <c r="T14" s="50"/>
      <c r="U14" s="135" t="s">
        <v>109</v>
      </c>
      <c r="V14" s="127"/>
      <c r="W14" s="127"/>
      <c r="X14" s="127"/>
      <c r="Y14" s="128"/>
      <c r="Z14" s="50"/>
      <c r="AA14" s="135" t="s">
        <v>155</v>
      </c>
      <c r="AB14" s="127"/>
      <c r="AC14" s="127"/>
      <c r="AD14" s="127"/>
      <c r="AE14" s="128"/>
      <c r="AF14" s="50"/>
      <c r="AG14" s="135" t="s">
        <v>156</v>
      </c>
      <c r="AH14" s="127"/>
      <c r="AI14" s="127"/>
      <c r="AJ14" s="127"/>
      <c r="AK14" s="128"/>
      <c r="AL14" s="50"/>
      <c r="AM14" s="78"/>
      <c r="AN14" s="78"/>
      <c r="AO14" s="78"/>
      <c r="AP14" s="78"/>
      <c r="AY14" s="57" t="s">
        <v>3</v>
      </c>
      <c r="AZ14" s="93">
        <f>C17+I17+O17+U17+AA17+AG17</f>
        <v>768</v>
      </c>
    </row>
    <row r="15" spans="1:52" ht="19.5" customHeight="1" x14ac:dyDescent="0.25">
      <c r="A15" s="175"/>
      <c r="B15" s="50"/>
      <c r="C15" s="129"/>
      <c r="D15" s="130"/>
      <c r="E15" s="130"/>
      <c r="F15" s="130"/>
      <c r="G15" s="131"/>
      <c r="H15" s="50"/>
      <c r="I15" s="129"/>
      <c r="J15" s="130"/>
      <c r="K15" s="130"/>
      <c r="L15" s="130"/>
      <c r="M15" s="131"/>
      <c r="N15" s="50"/>
      <c r="O15" s="129"/>
      <c r="P15" s="130"/>
      <c r="Q15" s="130"/>
      <c r="R15" s="130"/>
      <c r="S15" s="131"/>
      <c r="T15" s="50"/>
      <c r="U15" s="129"/>
      <c r="V15" s="130"/>
      <c r="W15" s="130"/>
      <c r="X15" s="130"/>
      <c r="Y15" s="131"/>
      <c r="Z15" s="50"/>
      <c r="AA15" s="129"/>
      <c r="AB15" s="130"/>
      <c r="AC15" s="130"/>
      <c r="AD15" s="130"/>
      <c r="AE15" s="131"/>
      <c r="AF15" s="50"/>
      <c r="AG15" s="129"/>
      <c r="AH15" s="130"/>
      <c r="AI15" s="130"/>
      <c r="AJ15" s="130"/>
      <c r="AK15" s="131"/>
      <c r="AL15" s="50"/>
      <c r="AM15" s="78"/>
      <c r="AN15" s="78"/>
      <c r="AO15" s="78"/>
      <c r="AP15" s="78"/>
      <c r="AY15" s="58" t="s">
        <v>4</v>
      </c>
      <c r="AZ15" s="93">
        <f>E17+K17+Q17+W17+AC17+AI17</f>
        <v>384</v>
      </c>
    </row>
    <row r="16" spans="1:52" ht="19.5" customHeight="1" x14ac:dyDescent="0.25">
      <c r="A16" s="175"/>
      <c r="B16" s="50"/>
      <c r="C16" s="132"/>
      <c r="D16" s="133"/>
      <c r="E16" s="133"/>
      <c r="F16" s="133"/>
      <c r="G16" s="134"/>
      <c r="H16" s="50"/>
      <c r="I16" s="132"/>
      <c r="J16" s="133"/>
      <c r="K16" s="133"/>
      <c r="L16" s="133"/>
      <c r="M16" s="134"/>
      <c r="N16" s="50"/>
      <c r="O16" s="132"/>
      <c r="P16" s="133"/>
      <c r="Q16" s="133"/>
      <c r="R16" s="133"/>
      <c r="S16" s="134"/>
      <c r="T16" s="50"/>
      <c r="U16" s="132"/>
      <c r="V16" s="133"/>
      <c r="W16" s="133"/>
      <c r="X16" s="133"/>
      <c r="Y16" s="134"/>
      <c r="Z16" s="50"/>
      <c r="AA16" s="132"/>
      <c r="AB16" s="133"/>
      <c r="AC16" s="133"/>
      <c r="AD16" s="133"/>
      <c r="AE16" s="134"/>
      <c r="AF16" s="50"/>
      <c r="AG16" s="132"/>
      <c r="AH16" s="133"/>
      <c r="AI16" s="133"/>
      <c r="AJ16" s="133"/>
      <c r="AK16" s="134"/>
      <c r="AL16" s="50"/>
      <c r="AM16" s="78"/>
      <c r="AN16" s="78"/>
      <c r="AO16" s="78"/>
      <c r="AP16" s="78"/>
      <c r="AY16" s="59" t="s">
        <v>5</v>
      </c>
      <c r="AZ16" s="93">
        <f>F17+L17+R17+X17+AD17+AJ17</f>
        <v>72</v>
      </c>
    </row>
    <row r="17" spans="1:52" ht="19.5" customHeight="1" x14ac:dyDescent="0.25">
      <c r="A17" s="176"/>
      <c r="B17" s="50"/>
      <c r="C17" s="94">
        <v>128</v>
      </c>
      <c r="D17" s="42"/>
      <c r="E17" s="95">
        <v>64</v>
      </c>
      <c r="F17" s="96">
        <v>12</v>
      </c>
      <c r="G17" s="86" t="s">
        <v>104</v>
      </c>
      <c r="H17" s="50"/>
      <c r="I17" s="94">
        <v>128</v>
      </c>
      <c r="J17" s="42"/>
      <c r="K17" s="95">
        <v>64</v>
      </c>
      <c r="L17" s="96">
        <v>12</v>
      </c>
      <c r="M17" s="86" t="s">
        <v>105</v>
      </c>
      <c r="N17" s="50"/>
      <c r="O17" s="94">
        <v>128</v>
      </c>
      <c r="P17" s="42"/>
      <c r="Q17" s="95">
        <v>64</v>
      </c>
      <c r="R17" s="96">
        <v>12</v>
      </c>
      <c r="S17" s="86" t="s">
        <v>105</v>
      </c>
      <c r="T17" s="50"/>
      <c r="U17" s="94">
        <v>128</v>
      </c>
      <c r="V17" s="42"/>
      <c r="W17" s="95">
        <v>64</v>
      </c>
      <c r="X17" s="96">
        <v>12</v>
      </c>
      <c r="Y17" s="86" t="s">
        <v>104</v>
      </c>
      <c r="Z17" s="50"/>
      <c r="AA17" s="94">
        <v>128</v>
      </c>
      <c r="AB17" s="42"/>
      <c r="AC17" s="95">
        <v>64</v>
      </c>
      <c r="AD17" s="96">
        <v>12</v>
      </c>
      <c r="AE17" s="86" t="s">
        <v>105</v>
      </c>
      <c r="AF17" s="50"/>
      <c r="AG17" s="94">
        <v>128</v>
      </c>
      <c r="AH17" s="42"/>
      <c r="AI17" s="95">
        <v>64</v>
      </c>
      <c r="AJ17" s="96">
        <v>12</v>
      </c>
      <c r="AK17" s="86" t="s">
        <v>104</v>
      </c>
      <c r="AL17" s="50"/>
      <c r="AM17" s="77"/>
      <c r="AN17" s="77"/>
      <c r="AO17" s="77"/>
      <c r="AP17" s="77"/>
    </row>
    <row r="18" spans="1:52" ht="5.25" customHeight="1" x14ac:dyDescent="0.25">
      <c r="A18" s="55"/>
      <c r="B18" s="48"/>
      <c r="C18" s="171"/>
      <c r="D18" s="172"/>
      <c r="E18" s="173"/>
      <c r="F18" s="49"/>
      <c r="G18" s="49"/>
      <c r="H18" s="50"/>
      <c r="I18" s="171"/>
      <c r="J18" s="172"/>
      <c r="K18" s="173"/>
      <c r="L18" s="49"/>
      <c r="M18" s="49"/>
      <c r="N18" s="50"/>
      <c r="O18" s="171"/>
      <c r="P18" s="172"/>
      <c r="Q18" s="173"/>
      <c r="R18" s="49"/>
      <c r="S18" s="49"/>
      <c r="T18" s="50"/>
      <c r="U18" s="171"/>
      <c r="V18" s="172"/>
      <c r="W18" s="173"/>
      <c r="X18" s="49"/>
      <c r="Y18" s="49"/>
      <c r="Z18" s="50"/>
      <c r="AA18" s="171"/>
      <c r="AB18" s="172"/>
      <c r="AC18" s="173"/>
      <c r="AD18" s="49"/>
      <c r="AE18" s="49"/>
      <c r="AF18" s="50"/>
      <c r="AG18" s="171"/>
      <c r="AH18" s="172"/>
      <c r="AI18" s="173"/>
      <c r="AJ18" s="49"/>
      <c r="AK18" s="49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</row>
    <row r="19" spans="1:52" ht="23.25" customHeight="1" x14ac:dyDescent="0.25">
      <c r="A19" s="174" t="s">
        <v>110</v>
      </c>
      <c r="B19" s="50"/>
      <c r="C19" s="136" t="s">
        <v>197</v>
      </c>
      <c r="D19" s="137"/>
      <c r="E19" s="138"/>
      <c r="F19" s="42" t="s">
        <v>191</v>
      </c>
      <c r="G19" s="83" t="s">
        <v>99</v>
      </c>
      <c r="H19" s="50"/>
      <c r="I19" s="136" t="s">
        <v>198</v>
      </c>
      <c r="J19" s="137"/>
      <c r="K19" s="138"/>
      <c r="L19" s="42"/>
      <c r="M19" s="83" t="s">
        <v>99</v>
      </c>
      <c r="N19" s="50"/>
      <c r="O19" s="136" t="s">
        <v>199</v>
      </c>
      <c r="P19" s="137"/>
      <c r="Q19" s="138"/>
      <c r="R19" s="42"/>
      <c r="S19" s="83" t="s">
        <v>99</v>
      </c>
      <c r="T19" s="50"/>
      <c r="U19" s="136" t="s">
        <v>200</v>
      </c>
      <c r="V19" s="137"/>
      <c r="W19" s="138"/>
      <c r="X19" s="72"/>
      <c r="Y19" s="83" t="s">
        <v>99</v>
      </c>
      <c r="Z19" s="50"/>
      <c r="AA19" s="136" t="s">
        <v>201</v>
      </c>
      <c r="AB19" s="137"/>
      <c r="AC19" s="138"/>
      <c r="AD19" s="72"/>
      <c r="AE19" s="83" t="s">
        <v>99</v>
      </c>
      <c r="AF19" s="50"/>
      <c r="AG19" s="136" t="s">
        <v>202</v>
      </c>
      <c r="AH19" s="137"/>
      <c r="AI19" s="138"/>
      <c r="AJ19" s="42"/>
      <c r="AK19" s="83" t="s">
        <v>99</v>
      </c>
      <c r="AL19" s="50"/>
      <c r="AM19" s="136" t="s">
        <v>203</v>
      </c>
      <c r="AN19" s="137"/>
      <c r="AO19" s="138"/>
      <c r="AP19" s="72"/>
      <c r="AQ19" s="83" t="s">
        <v>99</v>
      </c>
      <c r="AR19" s="50"/>
      <c r="AS19" s="136" t="s">
        <v>204</v>
      </c>
      <c r="AT19" s="137"/>
      <c r="AU19" s="138"/>
      <c r="AV19" s="72"/>
      <c r="AW19" s="83" t="s">
        <v>99</v>
      </c>
      <c r="AX19" s="77"/>
    </row>
    <row r="20" spans="1:52" ht="19.5" customHeight="1" x14ac:dyDescent="0.25">
      <c r="A20" s="175"/>
      <c r="B20" s="50"/>
      <c r="C20" s="135" t="s">
        <v>244</v>
      </c>
      <c r="D20" s="127"/>
      <c r="E20" s="127"/>
      <c r="F20" s="127"/>
      <c r="G20" s="128"/>
      <c r="H20" s="50"/>
      <c r="I20" s="135" t="s">
        <v>260</v>
      </c>
      <c r="J20" s="127"/>
      <c r="K20" s="127"/>
      <c r="L20" s="127"/>
      <c r="M20" s="128"/>
      <c r="N20" s="50"/>
      <c r="O20" s="135" t="s">
        <v>185</v>
      </c>
      <c r="P20" s="127"/>
      <c r="Q20" s="127"/>
      <c r="R20" s="127"/>
      <c r="S20" s="128"/>
      <c r="T20" s="50"/>
      <c r="U20" s="135" t="s">
        <v>111</v>
      </c>
      <c r="V20" s="127"/>
      <c r="W20" s="127"/>
      <c r="X20" s="127"/>
      <c r="Y20" s="128"/>
      <c r="Z20" s="50"/>
      <c r="AA20" s="126" t="s">
        <v>112</v>
      </c>
      <c r="AB20" s="127"/>
      <c r="AC20" s="127"/>
      <c r="AD20" s="127"/>
      <c r="AE20" s="128"/>
      <c r="AF20" s="50"/>
      <c r="AG20" s="126" t="s">
        <v>113</v>
      </c>
      <c r="AH20" s="127"/>
      <c r="AI20" s="127"/>
      <c r="AJ20" s="127"/>
      <c r="AK20" s="128"/>
      <c r="AL20" s="50"/>
      <c r="AM20" s="135" t="s">
        <v>114</v>
      </c>
      <c r="AN20" s="185"/>
      <c r="AO20" s="185"/>
      <c r="AP20" s="185"/>
      <c r="AQ20" s="186"/>
      <c r="AR20" s="50"/>
      <c r="AS20" s="126" t="s">
        <v>171</v>
      </c>
      <c r="AT20" s="127"/>
      <c r="AU20" s="127"/>
      <c r="AV20" s="127"/>
      <c r="AW20" s="128"/>
      <c r="AX20"/>
      <c r="AY20" s="57" t="s">
        <v>3</v>
      </c>
      <c r="AZ20" s="97">
        <f>+C23+I23+O23+U23+AA23+AG23+AM23+AS23</f>
        <v>768</v>
      </c>
    </row>
    <row r="21" spans="1:52" ht="19.5" customHeight="1" x14ac:dyDescent="0.25">
      <c r="A21" s="175"/>
      <c r="B21" s="50"/>
      <c r="C21" s="129"/>
      <c r="D21" s="130"/>
      <c r="E21" s="130"/>
      <c r="F21" s="130"/>
      <c r="G21" s="131"/>
      <c r="H21" s="50"/>
      <c r="I21" s="129"/>
      <c r="J21" s="130"/>
      <c r="K21" s="130"/>
      <c r="L21" s="130"/>
      <c r="M21" s="131"/>
      <c r="N21" s="50"/>
      <c r="O21" s="129"/>
      <c r="P21" s="130"/>
      <c r="Q21" s="130"/>
      <c r="R21" s="130"/>
      <c r="S21" s="131"/>
      <c r="T21" s="50"/>
      <c r="U21" s="129"/>
      <c r="V21" s="130"/>
      <c r="W21" s="130"/>
      <c r="X21" s="130"/>
      <c r="Y21" s="131"/>
      <c r="Z21" s="50"/>
      <c r="AA21" s="129"/>
      <c r="AB21" s="130"/>
      <c r="AC21" s="130"/>
      <c r="AD21" s="130"/>
      <c r="AE21" s="131"/>
      <c r="AF21" s="50"/>
      <c r="AG21" s="129"/>
      <c r="AH21" s="130"/>
      <c r="AI21" s="130"/>
      <c r="AJ21" s="130"/>
      <c r="AK21" s="131"/>
      <c r="AL21" s="50"/>
      <c r="AM21" s="187"/>
      <c r="AN21" s="188"/>
      <c r="AO21" s="188"/>
      <c r="AP21" s="188"/>
      <c r="AQ21" s="189"/>
      <c r="AR21" s="50"/>
      <c r="AS21" s="129"/>
      <c r="AT21" s="130"/>
      <c r="AU21" s="130"/>
      <c r="AV21" s="130"/>
      <c r="AW21" s="131"/>
      <c r="AX21"/>
      <c r="AY21" s="58" t="s">
        <v>4</v>
      </c>
      <c r="AZ21" s="41">
        <f>E23+K23+Q23+W23+AC23+AI23+AO23+AU23</f>
        <v>384</v>
      </c>
    </row>
    <row r="22" spans="1:52" ht="19.5" customHeight="1" x14ac:dyDescent="0.25">
      <c r="A22" s="175"/>
      <c r="B22" s="50"/>
      <c r="C22" s="132"/>
      <c r="D22" s="133"/>
      <c r="E22" s="133"/>
      <c r="F22" s="133"/>
      <c r="G22" s="134"/>
      <c r="H22" s="50"/>
      <c r="I22" s="132"/>
      <c r="J22" s="133"/>
      <c r="K22" s="133"/>
      <c r="L22" s="133"/>
      <c r="M22" s="134"/>
      <c r="N22" s="50"/>
      <c r="O22" s="132"/>
      <c r="P22" s="133"/>
      <c r="Q22" s="133"/>
      <c r="R22" s="133"/>
      <c r="S22" s="134"/>
      <c r="T22" s="50"/>
      <c r="U22" s="132"/>
      <c r="V22" s="133"/>
      <c r="W22" s="133"/>
      <c r="X22" s="133"/>
      <c r="Y22" s="134"/>
      <c r="Z22" s="50"/>
      <c r="AA22" s="132"/>
      <c r="AB22" s="133"/>
      <c r="AC22" s="133"/>
      <c r="AD22" s="133"/>
      <c r="AE22" s="134"/>
      <c r="AF22" s="50"/>
      <c r="AG22" s="132"/>
      <c r="AH22" s="133"/>
      <c r="AI22" s="133"/>
      <c r="AJ22" s="133"/>
      <c r="AK22" s="134"/>
      <c r="AL22" s="50"/>
      <c r="AM22" s="190"/>
      <c r="AN22" s="191"/>
      <c r="AO22" s="191"/>
      <c r="AP22" s="191"/>
      <c r="AQ22" s="192"/>
      <c r="AR22" s="50"/>
      <c r="AS22" s="132"/>
      <c r="AT22" s="133"/>
      <c r="AU22" s="133"/>
      <c r="AV22" s="133"/>
      <c r="AW22" s="134"/>
      <c r="AX22"/>
      <c r="AY22" s="59" t="s">
        <v>5</v>
      </c>
      <c r="AZ22" s="41">
        <f>F23+L23+R23+X23+AD23+AJ23+AP23+AV23</f>
        <v>72</v>
      </c>
    </row>
    <row r="23" spans="1:52" ht="19.5" customHeight="1" x14ac:dyDescent="0.25">
      <c r="A23" s="176"/>
      <c r="B23" s="50"/>
      <c r="C23" s="94">
        <v>80</v>
      </c>
      <c r="D23" s="42"/>
      <c r="E23" s="95">
        <v>40</v>
      </c>
      <c r="F23" s="96">
        <v>7.5</v>
      </c>
      <c r="G23" s="86" t="s">
        <v>104</v>
      </c>
      <c r="H23" s="50"/>
      <c r="I23" s="94">
        <v>80</v>
      </c>
      <c r="J23" s="42"/>
      <c r="K23" s="95">
        <v>40</v>
      </c>
      <c r="L23" s="96">
        <v>7.5</v>
      </c>
      <c r="M23" s="86" t="s">
        <v>104</v>
      </c>
      <c r="N23" s="50"/>
      <c r="O23" s="94">
        <v>112</v>
      </c>
      <c r="P23" s="42"/>
      <c r="Q23" s="95">
        <v>56</v>
      </c>
      <c r="R23" s="96">
        <v>10.5</v>
      </c>
      <c r="S23" s="86" t="s">
        <v>105</v>
      </c>
      <c r="T23" s="50"/>
      <c r="U23" s="94">
        <v>112</v>
      </c>
      <c r="V23" s="42"/>
      <c r="W23" s="95">
        <v>56</v>
      </c>
      <c r="X23" s="96">
        <v>10.5</v>
      </c>
      <c r="Y23" s="86" t="s">
        <v>104</v>
      </c>
      <c r="Z23" s="50"/>
      <c r="AA23" s="94">
        <v>112</v>
      </c>
      <c r="AB23" s="42"/>
      <c r="AC23" s="95">
        <v>56</v>
      </c>
      <c r="AD23" s="96">
        <v>10.5</v>
      </c>
      <c r="AE23" s="86" t="s">
        <v>104</v>
      </c>
      <c r="AF23" s="50"/>
      <c r="AG23" s="94">
        <v>80</v>
      </c>
      <c r="AH23" s="42"/>
      <c r="AI23" s="95">
        <v>40</v>
      </c>
      <c r="AJ23" s="96">
        <v>7.5</v>
      </c>
      <c r="AK23" s="113" t="s">
        <v>264</v>
      </c>
      <c r="AL23" s="50"/>
      <c r="AM23" s="94">
        <v>112</v>
      </c>
      <c r="AN23" s="42"/>
      <c r="AO23" s="95">
        <v>56</v>
      </c>
      <c r="AP23" s="96">
        <v>10.5</v>
      </c>
      <c r="AQ23" s="86" t="s">
        <v>105</v>
      </c>
      <c r="AR23" s="50"/>
      <c r="AS23" s="94">
        <v>80</v>
      </c>
      <c r="AT23" s="42"/>
      <c r="AU23" s="95">
        <v>40</v>
      </c>
      <c r="AV23" s="96">
        <v>7.5</v>
      </c>
      <c r="AW23" s="86" t="s">
        <v>104</v>
      </c>
      <c r="AX23" s="77"/>
    </row>
    <row r="24" spans="1:52" ht="5.25" customHeight="1" x14ac:dyDescent="0.25">
      <c r="A24" s="55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50"/>
      <c r="AM24" s="48"/>
      <c r="AN24" s="48"/>
      <c r="AO24" s="48"/>
      <c r="AP24" s="48"/>
      <c r="AQ24" s="48"/>
      <c r="AR24" s="50"/>
      <c r="AS24" s="48"/>
      <c r="AT24" s="48"/>
      <c r="AU24" s="48"/>
      <c r="AV24" s="48"/>
      <c r="AW24" s="48"/>
    </row>
    <row r="25" spans="1:52" ht="19.5" customHeight="1" x14ac:dyDescent="0.25">
      <c r="A25" s="174" t="s">
        <v>115</v>
      </c>
      <c r="B25" s="50"/>
      <c r="C25" s="136" t="s">
        <v>205</v>
      </c>
      <c r="D25" s="137"/>
      <c r="E25" s="138"/>
      <c r="F25" s="42" t="s">
        <v>197</v>
      </c>
      <c r="G25" s="83" t="s">
        <v>99</v>
      </c>
      <c r="H25" s="50"/>
      <c r="I25" s="136" t="s">
        <v>206</v>
      </c>
      <c r="J25" s="137"/>
      <c r="K25" s="138"/>
      <c r="L25" s="42"/>
      <c r="M25" s="83" t="s">
        <v>99</v>
      </c>
      <c r="N25" s="50"/>
      <c r="O25" s="136" t="s">
        <v>207</v>
      </c>
      <c r="P25" s="137"/>
      <c r="Q25" s="138"/>
      <c r="R25" s="42" t="s">
        <v>200</v>
      </c>
      <c r="S25" s="83" t="s">
        <v>99</v>
      </c>
      <c r="T25" s="50"/>
      <c r="U25" s="136" t="s">
        <v>208</v>
      </c>
      <c r="V25" s="137"/>
      <c r="W25" s="138"/>
      <c r="X25" s="42" t="s">
        <v>201</v>
      </c>
      <c r="Y25" s="83" t="s">
        <v>99</v>
      </c>
      <c r="Z25" s="50"/>
      <c r="AA25" s="136" t="s">
        <v>209</v>
      </c>
      <c r="AB25" s="137"/>
      <c r="AC25" s="138"/>
      <c r="AD25" s="72"/>
      <c r="AE25" s="83" t="s">
        <v>99</v>
      </c>
      <c r="AF25" s="50"/>
      <c r="AG25" s="136" t="s">
        <v>210</v>
      </c>
      <c r="AH25" s="137"/>
      <c r="AI25" s="138"/>
      <c r="AJ25" s="42"/>
      <c r="AK25" s="83" t="s">
        <v>99</v>
      </c>
      <c r="AL25" s="50"/>
      <c r="AM25" s="136" t="s">
        <v>211</v>
      </c>
      <c r="AN25" s="137"/>
      <c r="AO25" s="138"/>
      <c r="AP25" s="42"/>
      <c r="AQ25" s="83" t="s">
        <v>99</v>
      </c>
      <c r="AR25" s="50"/>
    </row>
    <row r="26" spans="1:52" ht="19.5" customHeight="1" x14ac:dyDescent="0.25">
      <c r="A26" s="175"/>
      <c r="B26" s="50"/>
      <c r="C26" s="135" t="s">
        <v>245</v>
      </c>
      <c r="D26" s="127"/>
      <c r="E26" s="127"/>
      <c r="F26" s="127"/>
      <c r="G26" s="128"/>
      <c r="H26" s="50"/>
      <c r="I26" s="135" t="s">
        <v>158</v>
      </c>
      <c r="J26" s="127"/>
      <c r="K26" s="127"/>
      <c r="L26" s="127"/>
      <c r="M26" s="128"/>
      <c r="N26" s="50"/>
      <c r="O26" s="135" t="s">
        <v>116</v>
      </c>
      <c r="P26" s="127"/>
      <c r="Q26" s="127"/>
      <c r="R26" s="127"/>
      <c r="S26" s="128"/>
      <c r="T26" s="50"/>
      <c r="U26" s="135" t="s">
        <v>117</v>
      </c>
      <c r="V26" s="127"/>
      <c r="W26" s="127"/>
      <c r="X26" s="127"/>
      <c r="Y26" s="128"/>
      <c r="Z26" s="50"/>
      <c r="AA26" s="126" t="s">
        <v>118</v>
      </c>
      <c r="AB26" s="127"/>
      <c r="AC26" s="127"/>
      <c r="AD26" s="127"/>
      <c r="AE26" s="128"/>
      <c r="AF26" s="50"/>
      <c r="AG26" s="135" t="s">
        <v>261</v>
      </c>
      <c r="AH26" s="127"/>
      <c r="AI26" s="127"/>
      <c r="AJ26" s="127"/>
      <c r="AK26" s="128"/>
      <c r="AL26" s="50"/>
      <c r="AM26" s="135" t="s">
        <v>262</v>
      </c>
      <c r="AN26" s="127"/>
      <c r="AO26" s="127"/>
      <c r="AP26" s="127"/>
      <c r="AQ26" s="128"/>
      <c r="AR26" s="50"/>
      <c r="AY26" s="57" t="s">
        <v>3</v>
      </c>
      <c r="AZ26" s="41">
        <f>C29+I29+O29+U29+AA29+AG29+AM29</f>
        <v>768</v>
      </c>
    </row>
    <row r="27" spans="1:52" ht="19.5" customHeight="1" x14ac:dyDescent="0.25">
      <c r="A27" s="175"/>
      <c r="B27" s="50"/>
      <c r="C27" s="129"/>
      <c r="D27" s="130"/>
      <c r="E27" s="130"/>
      <c r="F27" s="130"/>
      <c r="G27" s="131"/>
      <c r="H27" s="50"/>
      <c r="I27" s="129"/>
      <c r="J27" s="130"/>
      <c r="K27" s="130"/>
      <c r="L27" s="130"/>
      <c r="M27" s="131"/>
      <c r="N27" s="50"/>
      <c r="O27" s="129"/>
      <c r="P27" s="130"/>
      <c r="Q27" s="130"/>
      <c r="R27" s="130"/>
      <c r="S27" s="131"/>
      <c r="T27" s="50"/>
      <c r="U27" s="129"/>
      <c r="V27" s="130"/>
      <c r="W27" s="130"/>
      <c r="X27" s="130"/>
      <c r="Y27" s="131"/>
      <c r="Z27" s="50"/>
      <c r="AA27" s="129"/>
      <c r="AB27" s="130"/>
      <c r="AC27" s="130"/>
      <c r="AD27" s="130"/>
      <c r="AE27" s="131"/>
      <c r="AF27" s="50"/>
      <c r="AG27" s="129"/>
      <c r="AH27" s="130"/>
      <c r="AI27" s="130"/>
      <c r="AJ27" s="130"/>
      <c r="AK27" s="131"/>
      <c r="AL27" s="50"/>
      <c r="AM27" s="129"/>
      <c r="AN27" s="130"/>
      <c r="AO27" s="130"/>
      <c r="AP27" s="130"/>
      <c r="AQ27" s="131"/>
      <c r="AR27" s="50"/>
      <c r="AY27" s="58" t="s">
        <v>4</v>
      </c>
      <c r="AZ27" s="41">
        <f>E29+K29+Q29+W29+AC29+AI29+AO29</f>
        <v>384</v>
      </c>
    </row>
    <row r="28" spans="1:52" ht="19.5" customHeight="1" x14ac:dyDescent="0.25">
      <c r="A28" s="175"/>
      <c r="B28" s="50"/>
      <c r="C28" s="132"/>
      <c r="D28" s="133"/>
      <c r="E28" s="133"/>
      <c r="F28" s="133"/>
      <c r="G28" s="134"/>
      <c r="H28" s="50"/>
      <c r="I28" s="132"/>
      <c r="J28" s="133"/>
      <c r="K28" s="133"/>
      <c r="L28" s="133"/>
      <c r="M28" s="134"/>
      <c r="N28" s="50"/>
      <c r="O28" s="132"/>
      <c r="P28" s="133"/>
      <c r="Q28" s="133"/>
      <c r="R28" s="133"/>
      <c r="S28" s="134"/>
      <c r="T28" s="50"/>
      <c r="U28" s="132"/>
      <c r="V28" s="133"/>
      <c r="W28" s="133"/>
      <c r="X28" s="133"/>
      <c r="Y28" s="134"/>
      <c r="Z28" s="50"/>
      <c r="AA28" s="132"/>
      <c r="AB28" s="133"/>
      <c r="AC28" s="133"/>
      <c r="AD28" s="133"/>
      <c r="AE28" s="134"/>
      <c r="AF28" s="50"/>
      <c r="AG28" s="132"/>
      <c r="AH28" s="133"/>
      <c r="AI28" s="133"/>
      <c r="AJ28" s="133"/>
      <c r="AK28" s="134"/>
      <c r="AL28" s="50"/>
      <c r="AM28" s="132"/>
      <c r="AN28" s="133"/>
      <c r="AO28" s="133"/>
      <c r="AP28" s="133"/>
      <c r="AQ28" s="134"/>
      <c r="AR28" s="50"/>
      <c r="AY28" s="59" t="s">
        <v>5</v>
      </c>
      <c r="AZ28" s="41">
        <f>F29+L29+R29+X29+AD29+AJ29+AP29</f>
        <v>72</v>
      </c>
    </row>
    <row r="29" spans="1:52" ht="19.5" customHeight="1" x14ac:dyDescent="0.25">
      <c r="A29" s="176"/>
      <c r="B29" s="50"/>
      <c r="C29" s="94">
        <v>96</v>
      </c>
      <c r="D29" s="42"/>
      <c r="E29" s="95">
        <v>48</v>
      </c>
      <c r="F29" s="96">
        <v>9</v>
      </c>
      <c r="G29" s="86" t="s">
        <v>104</v>
      </c>
      <c r="H29" s="50"/>
      <c r="I29" s="94">
        <v>96</v>
      </c>
      <c r="J29" s="42"/>
      <c r="K29" s="95">
        <v>48</v>
      </c>
      <c r="L29" s="96">
        <v>9</v>
      </c>
      <c r="M29" s="113" t="s">
        <v>264</v>
      </c>
      <c r="N29" s="50"/>
      <c r="O29" s="94">
        <v>96</v>
      </c>
      <c r="P29" s="42"/>
      <c r="Q29" s="95">
        <v>48</v>
      </c>
      <c r="R29" s="96">
        <v>9</v>
      </c>
      <c r="S29" s="86" t="s">
        <v>105</v>
      </c>
      <c r="T29" s="50"/>
      <c r="U29" s="94">
        <v>96</v>
      </c>
      <c r="V29" s="42"/>
      <c r="W29" s="95">
        <v>48</v>
      </c>
      <c r="X29" s="96">
        <v>9</v>
      </c>
      <c r="Y29" s="86" t="s">
        <v>104</v>
      </c>
      <c r="Z29" s="50"/>
      <c r="AA29" s="94">
        <v>128</v>
      </c>
      <c r="AB29" s="42"/>
      <c r="AC29" s="95">
        <v>64</v>
      </c>
      <c r="AD29" s="96">
        <v>12</v>
      </c>
      <c r="AE29" s="86" t="s">
        <v>105</v>
      </c>
      <c r="AF29" s="50"/>
      <c r="AG29" s="94">
        <v>128</v>
      </c>
      <c r="AH29" s="42"/>
      <c r="AI29" s="95">
        <v>64</v>
      </c>
      <c r="AJ29" s="96">
        <v>12</v>
      </c>
      <c r="AK29" s="86" t="s">
        <v>105</v>
      </c>
      <c r="AL29" s="50"/>
      <c r="AM29" s="94">
        <v>128</v>
      </c>
      <c r="AN29" s="42"/>
      <c r="AO29" s="95">
        <v>64</v>
      </c>
      <c r="AP29" s="96">
        <v>12</v>
      </c>
      <c r="AQ29" s="86" t="s">
        <v>123</v>
      </c>
      <c r="AR29" s="50"/>
    </row>
    <row r="30" spans="1:52" ht="5.25" customHeight="1" x14ac:dyDescent="0.25">
      <c r="A30" s="55"/>
      <c r="B30" s="48"/>
      <c r="C30" s="171"/>
      <c r="D30" s="172"/>
      <c r="E30" s="173"/>
      <c r="F30" s="49"/>
      <c r="G30" s="49"/>
      <c r="H30" s="50"/>
      <c r="I30" s="171"/>
      <c r="J30" s="172"/>
      <c r="K30" s="173"/>
      <c r="L30" s="49"/>
      <c r="M30" s="49"/>
      <c r="N30" s="50"/>
      <c r="O30" s="171"/>
      <c r="P30" s="172"/>
      <c r="Q30" s="173"/>
      <c r="R30" s="49"/>
      <c r="S30" s="49"/>
      <c r="T30" s="50"/>
      <c r="U30" s="171"/>
      <c r="V30" s="172"/>
      <c r="W30" s="173"/>
      <c r="X30" s="49"/>
      <c r="Y30" s="49"/>
      <c r="Z30" s="50"/>
      <c r="AA30" s="171"/>
      <c r="AB30" s="172"/>
      <c r="AC30" s="173"/>
      <c r="AD30" s="49"/>
      <c r="AE30" s="49"/>
      <c r="AF30" s="50"/>
      <c r="AG30" s="171"/>
      <c r="AH30" s="172"/>
      <c r="AI30" s="173"/>
      <c r="AJ30" s="49"/>
      <c r="AK30" s="49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</row>
    <row r="31" spans="1:52" ht="19.5" customHeight="1" x14ac:dyDescent="0.25">
      <c r="A31" s="174" t="s">
        <v>119</v>
      </c>
      <c r="B31" s="50"/>
      <c r="C31" s="136" t="s">
        <v>212</v>
      </c>
      <c r="D31" s="137"/>
      <c r="E31" s="138"/>
      <c r="F31" s="42" t="s">
        <v>205</v>
      </c>
      <c r="G31" s="83" t="s">
        <v>99</v>
      </c>
      <c r="H31" s="50"/>
      <c r="I31" s="136" t="s">
        <v>213</v>
      </c>
      <c r="J31" s="137"/>
      <c r="K31" s="138"/>
      <c r="L31" s="42"/>
      <c r="M31" s="83" t="s">
        <v>99</v>
      </c>
      <c r="N31" s="50"/>
      <c r="O31" s="136" t="s">
        <v>214</v>
      </c>
      <c r="P31" s="137"/>
      <c r="Q31" s="138"/>
      <c r="R31" s="42"/>
      <c r="S31" s="83" t="s">
        <v>99</v>
      </c>
      <c r="T31" s="50"/>
      <c r="U31" s="136" t="s">
        <v>215</v>
      </c>
      <c r="V31" s="137"/>
      <c r="W31" s="138"/>
      <c r="X31" s="72"/>
      <c r="Y31" s="83" t="s">
        <v>99</v>
      </c>
      <c r="Z31" s="50"/>
      <c r="AA31" s="136" t="s">
        <v>216</v>
      </c>
      <c r="AB31" s="137"/>
      <c r="AC31" s="138"/>
      <c r="AD31" s="42"/>
      <c r="AE31" s="83" t="s">
        <v>99</v>
      </c>
      <c r="AF31" s="50"/>
      <c r="AG31" s="136" t="s">
        <v>217</v>
      </c>
      <c r="AH31" s="137"/>
      <c r="AI31" s="138"/>
      <c r="AJ31" s="42"/>
      <c r="AK31" s="84" t="s">
        <v>99</v>
      </c>
      <c r="AL31" s="50"/>
      <c r="AM31" s="136" t="s">
        <v>218</v>
      </c>
      <c r="AN31" s="137"/>
      <c r="AO31" s="138"/>
      <c r="AP31" s="42"/>
      <c r="AQ31" s="83" t="s">
        <v>99</v>
      </c>
      <c r="AR31" s="50"/>
      <c r="AS31" s="136" t="s">
        <v>219</v>
      </c>
      <c r="AT31" s="137"/>
      <c r="AU31" s="138"/>
      <c r="AV31" s="42"/>
      <c r="AW31" s="83" t="s">
        <v>99</v>
      </c>
    </row>
    <row r="32" spans="1:52" ht="19.5" customHeight="1" x14ac:dyDescent="0.25">
      <c r="A32" s="175"/>
      <c r="B32" s="50"/>
      <c r="C32" s="135" t="s">
        <v>246</v>
      </c>
      <c r="D32" s="127"/>
      <c r="E32" s="127"/>
      <c r="F32" s="127"/>
      <c r="G32" s="128"/>
      <c r="H32" s="50"/>
      <c r="I32" s="135" t="s">
        <v>187</v>
      </c>
      <c r="J32" s="127"/>
      <c r="K32" s="127"/>
      <c r="L32" s="127"/>
      <c r="M32" s="128"/>
      <c r="N32" s="50"/>
      <c r="O32" s="135" t="s">
        <v>247</v>
      </c>
      <c r="P32" s="127"/>
      <c r="Q32" s="127"/>
      <c r="R32" s="127"/>
      <c r="S32" s="128"/>
      <c r="T32" s="50"/>
      <c r="U32" s="135" t="s">
        <v>120</v>
      </c>
      <c r="V32" s="127"/>
      <c r="W32" s="127"/>
      <c r="X32" s="127"/>
      <c r="Y32" s="128"/>
      <c r="Z32" s="50"/>
      <c r="AA32" s="126" t="s">
        <v>121</v>
      </c>
      <c r="AB32" s="127"/>
      <c r="AC32" s="127"/>
      <c r="AD32" s="127"/>
      <c r="AE32" s="128"/>
      <c r="AF32" s="50"/>
      <c r="AG32" s="126" t="s">
        <v>172</v>
      </c>
      <c r="AH32" s="127"/>
      <c r="AI32" s="127"/>
      <c r="AJ32" s="127"/>
      <c r="AK32" s="128"/>
      <c r="AL32" s="50"/>
      <c r="AM32" s="135" t="s">
        <v>251</v>
      </c>
      <c r="AN32" s="127"/>
      <c r="AO32" s="127"/>
      <c r="AP32" s="127"/>
      <c r="AQ32" s="128"/>
      <c r="AR32" s="50"/>
      <c r="AS32" s="126" t="s">
        <v>122</v>
      </c>
      <c r="AT32" s="127"/>
      <c r="AU32" s="127"/>
      <c r="AV32" s="127"/>
      <c r="AW32" s="128"/>
      <c r="AY32" s="99" t="s">
        <v>3</v>
      </c>
      <c r="AZ32" s="98">
        <f>+C35+I35+O35+U35+AA35+AG35+AM35+AS35</f>
        <v>768</v>
      </c>
    </row>
    <row r="33" spans="1:52" ht="19.5" customHeight="1" x14ac:dyDescent="0.25">
      <c r="A33" s="175"/>
      <c r="B33" s="50"/>
      <c r="C33" s="129"/>
      <c r="D33" s="130"/>
      <c r="E33" s="130"/>
      <c r="F33" s="130"/>
      <c r="G33" s="131"/>
      <c r="H33" s="50"/>
      <c r="I33" s="129"/>
      <c r="J33" s="130"/>
      <c r="K33" s="130"/>
      <c r="L33" s="130"/>
      <c r="M33" s="131"/>
      <c r="N33" s="50"/>
      <c r="O33" s="129"/>
      <c r="P33" s="130"/>
      <c r="Q33" s="130"/>
      <c r="R33" s="130"/>
      <c r="S33" s="131"/>
      <c r="T33" s="50"/>
      <c r="U33" s="129"/>
      <c r="V33" s="130"/>
      <c r="W33" s="130"/>
      <c r="X33" s="130"/>
      <c r="Y33" s="131"/>
      <c r="Z33" s="50"/>
      <c r="AA33" s="129"/>
      <c r="AB33" s="130"/>
      <c r="AC33" s="130"/>
      <c r="AD33" s="130"/>
      <c r="AE33" s="131"/>
      <c r="AF33" s="50"/>
      <c r="AG33" s="129"/>
      <c r="AH33" s="130"/>
      <c r="AI33" s="130"/>
      <c r="AJ33" s="130"/>
      <c r="AK33" s="131"/>
      <c r="AL33" s="50"/>
      <c r="AM33" s="129"/>
      <c r="AN33" s="130"/>
      <c r="AO33" s="130"/>
      <c r="AP33" s="130"/>
      <c r="AQ33" s="131"/>
      <c r="AR33" s="50"/>
      <c r="AS33" s="129"/>
      <c r="AT33" s="130"/>
      <c r="AU33" s="130"/>
      <c r="AV33" s="130"/>
      <c r="AW33" s="131"/>
      <c r="AY33" s="100" t="s">
        <v>4</v>
      </c>
      <c r="AZ33" s="97">
        <f>+E35+K35+Q35+W35+AC35+AI35+AO35+AU35</f>
        <v>384</v>
      </c>
    </row>
    <row r="34" spans="1:52" ht="19.5" customHeight="1" x14ac:dyDescent="0.25">
      <c r="A34" s="175"/>
      <c r="B34" s="50"/>
      <c r="C34" s="132"/>
      <c r="D34" s="133"/>
      <c r="E34" s="133"/>
      <c r="F34" s="133"/>
      <c r="G34" s="134"/>
      <c r="H34" s="50"/>
      <c r="I34" s="132"/>
      <c r="J34" s="133"/>
      <c r="K34" s="133"/>
      <c r="L34" s="133"/>
      <c r="M34" s="134"/>
      <c r="N34" s="50"/>
      <c r="O34" s="132"/>
      <c r="P34" s="133"/>
      <c r="Q34" s="133"/>
      <c r="R34" s="133"/>
      <c r="S34" s="134"/>
      <c r="T34" s="50"/>
      <c r="U34" s="132"/>
      <c r="V34" s="133"/>
      <c r="W34" s="133"/>
      <c r="X34" s="133"/>
      <c r="Y34" s="134"/>
      <c r="Z34" s="50"/>
      <c r="AA34" s="132"/>
      <c r="AB34" s="133"/>
      <c r="AC34" s="133"/>
      <c r="AD34" s="133"/>
      <c r="AE34" s="134"/>
      <c r="AF34" s="50"/>
      <c r="AG34" s="132"/>
      <c r="AH34" s="133"/>
      <c r="AI34" s="133"/>
      <c r="AJ34" s="133"/>
      <c r="AK34" s="134"/>
      <c r="AL34" s="50"/>
      <c r="AM34" s="132"/>
      <c r="AN34" s="133"/>
      <c r="AO34" s="133"/>
      <c r="AP34" s="133"/>
      <c r="AQ34" s="134"/>
      <c r="AR34" s="50"/>
      <c r="AS34" s="132"/>
      <c r="AT34" s="133"/>
      <c r="AU34" s="133"/>
      <c r="AV34" s="133"/>
      <c r="AW34" s="134"/>
      <c r="AY34" s="101" t="s">
        <v>5</v>
      </c>
      <c r="AZ34" s="97">
        <f>+F35+L35+R35+X35+AD35+AJ35+AP35+AV35</f>
        <v>72</v>
      </c>
    </row>
    <row r="35" spans="1:52" ht="19.5" customHeight="1" x14ac:dyDescent="0.25">
      <c r="A35" s="176"/>
      <c r="B35" s="50"/>
      <c r="C35" s="94">
        <v>80</v>
      </c>
      <c r="D35" s="42"/>
      <c r="E35" s="95">
        <v>40</v>
      </c>
      <c r="F35" s="96">
        <v>7.5</v>
      </c>
      <c r="G35" s="86" t="s">
        <v>104</v>
      </c>
      <c r="H35" s="50"/>
      <c r="I35" s="94">
        <v>96</v>
      </c>
      <c r="J35" s="42"/>
      <c r="K35" s="95">
        <v>48</v>
      </c>
      <c r="L35" s="96">
        <v>9</v>
      </c>
      <c r="M35" s="86" t="s">
        <v>104</v>
      </c>
      <c r="N35" s="50"/>
      <c r="O35" s="94">
        <v>96</v>
      </c>
      <c r="P35" s="42"/>
      <c r="Q35" s="95">
        <v>48</v>
      </c>
      <c r="R35" s="96">
        <v>9</v>
      </c>
      <c r="S35" s="86" t="s">
        <v>104</v>
      </c>
      <c r="T35" s="50"/>
      <c r="U35" s="94">
        <v>96</v>
      </c>
      <c r="V35" s="42"/>
      <c r="W35" s="95">
        <v>48</v>
      </c>
      <c r="X35" s="96">
        <v>9</v>
      </c>
      <c r="Y35" s="86" t="s">
        <v>105</v>
      </c>
      <c r="Z35" s="50"/>
      <c r="AA35" s="94">
        <v>112</v>
      </c>
      <c r="AB35" s="42"/>
      <c r="AC35" s="95">
        <v>56</v>
      </c>
      <c r="AD35" s="96">
        <v>10.5</v>
      </c>
      <c r="AE35" s="86" t="s">
        <v>104</v>
      </c>
      <c r="AF35" s="50"/>
      <c r="AG35" s="94">
        <v>80</v>
      </c>
      <c r="AH35" s="42"/>
      <c r="AI35" s="95">
        <v>40</v>
      </c>
      <c r="AJ35" s="96">
        <v>7.5</v>
      </c>
      <c r="AK35" s="86" t="s">
        <v>104</v>
      </c>
      <c r="AL35" s="50"/>
      <c r="AM35" s="94">
        <v>96</v>
      </c>
      <c r="AN35" s="42"/>
      <c r="AO35" s="95">
        <v>48</v>
      </c>
      <c r="AP35" s="96">
        <v>9</v>
      </c>
      <c r="AQ35" s="86" t="s">
        <v>105</v>
      </c>
      <c r="AR35" s="50"/>
      <c r="AS35" s="94">
        <v>112</v>
      </c>
      <c r="AT35" s="42"/>
      <c r="AU35" s="95">
        <v>56</v>
      </c>
      <c r="AV35" s="96">
        <v>10.5</v>
      </c>
      <c r="AW35" s="86" t="s">
        <v>105</v>
      </c>
    </row>
    <row r="36" spans="1:52" ht="5.25" customHeight="1" x14ac:dyDescent="0.25">
      <c r="A36" s="55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50"/>
      <c r="AM36" s="48"/>
      <c r="AN36" s="48"/>
      <c r="AO36" s="48"/>
      <c r="AP36" s="48"/>
      <c r="AQ36" s="48"/>
      <c r="AR36" s="50"/>
      <c r="AS36" s="48"/>
      <c r="AT36" s="48"/>
      <c r="AU36" s="48"/>
      <c r="AV36" s="48"/>
      <c r="AW36" s="48"/>
    </row>
    <row r="37" spans="1:52" ht="19.5" customHeight="1" x14ac:dyDescent="0.25">
      <c r="A37" s="174" t="s">
        <v>124</v>
      </c>
      <c r="B37" s="50"/>
      <c r="C37" s="136" t="s">
        <v>220</v>
      </c>
      <c r="D37" s="137"/>
      <c r="E37" s="138"/>
      <c r="F37" s="42"/>
      <c r="G37" s="83" t="s">
        <v>99</v>
      </c>
      <c r="H37" s="50"/>
      <c r="I37" s="136" t="s">
        <v>221</v>
      </c>
      <c r="J37" s="137"/>
      <c r="K37" s="138"/>
      <c r="L37" s="42" t="s">
        <v>214</v>
      </c>
      <c r="M37" s="83" t="s">
        <v>99</v>
      </c>
      <c r="N37" s="50"/>
      <c r="O37" s="136" t="s">
        <v>222</v>
      </c>
      <c r="P37" s="137"/>
      <c r="Q37" s="138"/>
      <c r="R37" s="42"/>
      <c r="S37" s="83" t="s">
        <v>99</v>
      </c>
      <c r="T37" s="50"/>
      <c r="U37" s="136" t="s">
        <v>223</v>
      </c>
      <c r="V37" s="137"/>
      <c r="W37" s="138"/>
      <c r="X37" s="72"/>
      <c r="Y37" s="83" t="s">
        <v>99</v>
      </c>
      <c r="Z37" s="50"/>
      <c r="AA37" s="136" t="s">
        <v>224</v>
      </c>
      <c r="AB37" s="137"/>
      <c r="AC37" s="138"/>
      <c r="AD37" s="72"/>
      <c r="AE37" s="83" t="s">
        <v>99</v>
      </c>
      <c r="AF37" s="50"/>
      <c r="AG37" s="136" t="s">
        <v>225</v>
      </c>
      <c r="AH37" s="137"/>
      <c r="AI37" s="138"/>
      <c r="AJ37" s="42"/>
      <c r="AK37" s="85" t="s">
        <v>99</v>
      </c>
      <c r="AL37" s="50"/>
      <c r="AM37" s="136" t="s">
        <v>226</v>
      </c>
      <c r="AN37" s="137"/>
      <c r="AO37" s="138"/>
      <c r="AP37" s="72"/>
      <c r="AQ37" s="83" t="s">
        <v>99</v>
      </c>
      <c r="AR37" s="50"/>
      <c r="AS37" s="136" t="s">
        <v>250</v>
      </c>
      <c r="AT37" s="137"/>
      <c r="AU37" s="138"/>
      <c r="AV37" s="42"/>
      <c r="AW37" s="83" t="s">
        <v>99</v>
      </c>
    </row>
    <row r="38" spans="1:52" ht="19.5" customHeight="1" x14ac:dyDescent="0.25">
      <c r="A38" s="175"/>
      <c r="B38" s="50"/>
      <c r="C38" s="135" t="s">
        <v>173</v>
      </c>
      <c r="D38" s="127"/>
      <c r="E38" s="127"/>
      <c r="F38" s="127"/>
      <c r="G38" s="128"/>
      <c r="H38" s="50"/>
      <c r="I38" s="135" t="s">
        <v>255</v>
      </c>
      <c r="J38" s="127"/>
      <c r="K38" s="127"/>
      <c r="L38" s="127"/>
      <c r="M38" s="128"/>
      <c r="N38" s="50"/>
      <c r="O38" s="135" t="s">
        <v>126</v>
      </c>
      <c r="P38" s="127"/>
      <c r="Q38" s="127"/>
      <c r="R38" s="127"/>
      <c r="S38" s="128"/>
      <c r="T38" s="50"/>
      <c r="U38" s="135" t="s">
        <v>161</v>
      </c>
      <c r="V38" s="127"/>
      <c r="W38" s="127"/>
      <c r="X38" s="127"/>
      <c r="Y38" s="128"/>
      <c r="Z38" s="50"/>
      <c r="AA38" s="135" t="s">
        <v>125</v>
      </c>
      <c r="AB38" s="127"/>
      <c r="AC38" s="127"/>
      <c r="AD38" s="127"/>
      <c r="AE38" s="128"/>
      <c r="AF38" s="50"/>
      <c r="AG38" s="135" t="s">
        <v>258</v>
      </c>
      <c r="AH38" s="127"/>
      <c r="AI38" s="127"/>
      <c r="AJ38" s="127"/>
      <c r="AK38" s="128"/>
      <c r="AL38" s="50"/>
      <c r="AM38" s="135" t="s">
        <v>129</v>
      </c>
      <c r="AN38" s="127"/>
      <c r="AO38" s="127"/>
      <c r="AP38" s="127"/>
      <c r="AQ38" s="128"/>
      <c r="AR38" s="50"/>
      <c r="AS38" s="135" t="s">
        <v>174</v>
      </c>
      <c r="AT38" s="127"/>
      <c r="AU38" s="127"/>
      <c r="AV38" s="127"/>
      <c r="AW38" s="128"/>
      <c r="AY38" s="99" t="s">
        <v>3</v>
      </c>
      <c r="AZ38" s="97">
        <f>+C41+I41+O41+U41+AA41+AG41+AM41+AS41</f>
        <v>768</v>
      </c>
    </row>
    <row r="39" spans="1:52" ht="19.5" customHeight="1" x14ac:dyDescent="0.25">
      <c r="A39" s="175"/>
      <c r="B39" s="50"/>
      <c r="C39" s="129"/>
      <c r="D39" s="130"/>
      <c r="E39" s="130"/>
      <c r="F39" s="130"/>
      <c r="G39" s="131"/>
      <c r="H39" s="50"/>
      <c r="I39" s="129"/>
      <c r="J39" s="130"/>
      <c r="K39" s="130"/>
      <c r="L39" s="130"/>
      <c r="M39" s="131"/>
      <c r="N39" s="50"/>
      <c r="O39" s="129"/>
      <c r="P39" s="130"/>
      <c r="Q39" s="130"/>
      <c r="R39" s="130"/>
      <c r="S39" s="131"/>
      <c r="T39" s="50"/>
      <c r="U39" s="129"/>
      <c r="V39" s="130"/>
      <c r="W39" s="130"/>
      <c r="X39" s="130"/>
      <c r="Y39" s="131"/>
      <c r="Z39" s="50"/>
      <c r="AA39" s="129"/>
      <c r="AB39" s="130"/>
      <c r="AC39" s="130"/>
      <c r="AD39" s="130"/>
      <c r="AE39" s="131"/>
      <c r="AF39" s="50"/>
      <c r="AG39" s="129"/>
      <c r="AH39" s="130"/>
      <c r="AI39" s="130"/>
      <c r="AJ39" s="130"/>
      <c r="AK39" s="131"/>
      <c r="AL39" s="78"/>
      <c r="AM39" s="129"/>
      <c r="AN39" s="130"/>
      <c r="AO39" s="130"/>
      <c r="AP39" s="130"/>
      <c r="AQ39" s="131"/>
      <c r="AR39" s="50"/>
      <c r="AS39" s="129"/>
      <c r="AT39" s="130"/>
      <c r="AU39" s="130"/>
      <c r="AV39" s="130"/>
      <c r="AW39" s="131"/>
      <c r="AY39" s="100" t="s">
        <v>4</v>
      </c>
      <c r="AZ39" s="97">
        <f>+E41+K41+Q41+W41+AC41+AI41+AO41+AU41</f>
        <v>384</v>
      </c>
    </row>
    <row r="40" spans="1:52" ht="19.5" customHeight="1" x14ac:dyDescent="0.25">
      <c r="A40" s="175"/>
      <c r="B40" s="50"/>
      <c r="C40" s="132"/>
      <c r="D40" s="133"/>
      <c r="E40" s="133"/>
      <c r="F40" s="133"/>
      <c r="G40" s="134"/>
      <c r="H40" s="50"/>
      <c r="I40" s="132"/>
      <c r="J40" s="133"/>
      <c r="K40" s="133"/>
      <c r="L40" s="133"/>
      <c r="M40" s="134"/>
      <c r="N40" s="50"/>
      <c r="O40" s="132"/>
      <c r="P40" s="133"/>
      <c r="Q40" s="133"/>
      <c r="R40" s="133"/>
      <c r="S40" s="134"/>
      <c r="T40" s="50"/>
      <c r="U40" s="132"/>
      <c r="V40" s="133"/>
      <c r="W40" s="133"/>
      <c r="X40" s="133"/>
      <c r="Y40" s="134"/>
      <c r="Z40" s="50"/>
      <c r="AA40" s="132"/>
      <c r="AB40" s="133"/>
      <c r="AC40" s="133"/>
      <c r="AD40" s="133"/>
      <c r="AE40" s="134"/>
      <c r="AF40" s="50"/>
      <c r="AG40" s="132"/>
      <c r="AH40" s="133"/>
      <c r="AI40" s="133"/>
      <c r="AJ40" s="133"/>
      <c r="AK40" s="134"/>
      <c r="AL40" s="78"/>
      <c r="AM40" s="132"/>
      <c r="AN40" s="133"/>
      <c r="AO40" s="133"/>
      <c r="AP40" s="133"/>
      <c r="AQ40" s="134"/>
      <c r="AR40" s="50"/>
      <c r="AS40" s="132"/>
      <c r="AT40" s="133"/>
      <c r="AU40" s="133"/>
      <c r="AV40" s="133"/>
      <c r="AW40" s="134"/>
      <c r="AY40" s="101" t="s">
        <v>5</v>
      </c>
      <c r="AZ40" s="97">
        <f>+F41+L41+R41+X41+AD41+AJ41+AP41+AV41</f>
        <v>72</v>
      </c>
    </row>
    <row r="41" spans="1:52" ht="19.5" customHeight="1" x14ac:dyDescent="0.25">
      <c r="A41" s="176"/>
      <c r="B41" s="50"/>
      <c r="C41" s="94">
        <v>112</v>
      </c>
      <c r="D41" s="42"/>
      <c r="E41" s="95">
        <v>56</v>
      </c>
      <c r="F41" s="96">
        <v>10.5</v>
      </c>
      <c r="G41" s="86" t="s">
        <v>104</v>
      </c>
      <c r="H41" s="50"/>
      <c r="I41" s="94">
        <v>80</v>
      </c>
      <c r="J41" s="42"/>
      <c r="K41" s="95">
        <v>40</v>
      </c>
      <c r="L41" s="96">
        <v>7.5</v>
      </c>
      <c r="M41" s="86" t="s">
        <v>104</v>
      </c>
      <c r="N41" s="50"/>
      <c r="O41" s="94">
        <v>80</v>
      </c>
      <c r="P41" s="42"/>
      <c r="Q41" s="95">
        <v>40</v>
      </c>
      <c r="R41" s="96">
        <v>7.5</v>
      </c>
      <c r="S41" s="86" t="s">
        <v>104</v>
      </c>
      <c r="T41" s="50"/>
      <c r="U41" s="94">
        <v>112</v>
      </c>
      <c r="V41" s="42"/>
      <c r="W41" s="95">
        <v>56</v>
      </c>
      <c r="X41" s="96">
        <v>10.5</v>
      </c>
      <c r="Y41" s="86" t="s">
        <v>105</v>
      </c>
      <c r="Z41" s="50"/>
      <c r="AA41" s="94">
        <v>96</v>
      </c>
      <c r="AB41" s="42"/>
      <c r="AC41" s="95">
        <v>48</v>
      </c>
      <c r="AD41" s="96">
        <v>9</v>
      </c>
      <c r="AE41" s="86" t="s">
        <v>105</v>
      </c>
      <c r="AF41" s="50"/>
      <c r="AG41" s="94">
        <v>80</v>
      </c>
      <c r="AH41" s="42"/>
      <c r="AI41" s="95">
        <v>40</v>
      </c>
      <c r="AJ41" s="96">
        <v>7.5</v>
      </c>
      <c r="AK41" s="113" t="s">
        <v>264</v>
      </c>
      <c r="AL41" s="80"/>
      <c r="AM41" s="94">
        <v>112</v>
      </c>
      <c r="AN41" s="42"/>
      <c r="AO41" s="95">
        <v>56</v>
      </c>
      <c r="AP41" s="96">
        <v>10.5</v>
      </c>
      <c r="AQ41" s="86" t="s">
        <v>105</v>
      </c>
      <c r="AR41" s="50"/>
      <c r="AS41" s="94">
        <v>96</v>
      </c>
      <c r="AT41" s="42"/>
      <c r="AU41" s="95">
        <v>48</v>
      </c>
      <c r="AV41" s="96">
        <v>9</v>
      </c>
      <c r="AW41" s="86" t="s">
        <v>105</v>
      </c>
    </row>
    <row r="42" spans="1:52" ht="5.25" customHeight="1" x14ac:dyDescent="0.25">
      <c r="A42" s="55"/>
      <c r="B42" s="48"/>
      <c r="C42" s="171"/>
      <c r="D42" s="172"/>
      <c r="E42" s="173"/>
      <c r="F42" s="49"/>
      <c r="G42" s="49"/>
      <c r="H42" s="50"/>
      <c r="I42" s="171"/>
      <c r="J42" s="172"/>
      <c r="K42" s="173"/>
      <c r="L42" s="49"/>
      <c r="M42" s="49"/>
      <c r="N42" s="50"/>
      <c r="O42" s="171"/>
      <c r="P42" s="172"/>
      <c r="Q42" s="173"/>
      <c r="R42" s="49"/>
      <c r="S42" s="49"/>
      <c r="T42" s="50"/>
      <c r="U42" s="171"/>
      <c r="V42" s="172"/>
      <c r="W42" s="173"/>
      <c r="X42" s="49"/>
      <c r="Y42" s="49"/>
      <c r="Z42" s="50"/>
      <c r="AA42" s="171"/>
      <c r="AB42" s="172"/>
      <c r="AC42" s="173"/>
      <c r="AD42" s="49"/>
      <c r="AE42" s="49"/>
      <c r="AF42" s="50"/>
      <c r="AG42" s="171"/>
      <c r="AH42" s="172"/>
      <c r="AI42" s="173"/>
      <c r="AJ42" s="49"/>
      <c r="AK42" s="49"/>
      <c r="AL42" s="50"/>
      <c r="AM42" s="50"/>
      <c r="AN42" s="50"/>
      <c r="AO42" s="50"/>
      <c r="AP42" s="50"/>
      <c r="AQ42" s="48"/>
      <c r="AR42" s="50"/>
      <c r="AS42" s="48"/>
      <c r="AT42" s="48"/>
      <c r="AU42" s="48"/>
      <c r="AV42" s="48"/>
      <c r="AW42" s="48"/>
    </row>
    <row r="43" spans="1:52" ht="19.5" customHeight="1" x14ac:dyDescent="0.25">
      <c r="A43" s="174" t="s">
        <v>128</v>
      </c>
      <c r="B43" s="50"/>
      <c r="C43" s="136" t="s">
        <v>227</v>
      </c>
      <c r="D43" s="137"/>
      <c r="E43" s="138"/>
      <c r="F43" s="42" t="s">
        <v>221</v>
      </c>
      <c r="G43" s="83" t="s">
        <v>99</v>
      </c>
      <c r="H43" s="50"/>
      <c r="I43" s="136" t="s">
        <v>228</v>
      </c>
      <c r="J43" s="137"/>
      <c r="K43" s="138"/>
      <c r="L43" s="72"/>
      <c r="M43" s="83" t="s">
        <v>99</v>
      </c>
      <c r="N43" s="50"/>
      <c r="O43" s="136" t="s">
        <v>229</v>
      </c>
      <c r="P43" s="137"/>
      <c r="Q43" s="138"/>
      <c r="R43" s="42" t="s">
        <v>223</v>
      </c>
      <c r="S43" s="83" t="s">
        <v>99</v>
      </c>
      <c r="T43" s="50"/>
      <c r="U43" s="136" t="s">
        <v>230</v>
      </c>
      <c r="V43" s="137"/>
      <c r="W43" s="138"/>
      <c r="X43" s="42"/>
      <c r="Y43" s="83" t="s">
        <v>99</v>
      </c>
      <c r="Z43" s="50"/>
      <c r="AA43" s="136" t="s">
        <v>231</v>
      </c>
      <c r="AB43" s="137"/>
      <c r="AC43" s="138"/>
      <c r="AD43" s="72"/>
      <c r="AE43" s="83" t="s">
        <v>99</v>
      </c>
      <c r="AF43" s="50"/>
      <c r="AG43" s="136" t="s">
        <v>232</v>
      </c>
      <c r="AH43" s="137"/>
      <c r="AI43" s="138"/>
      <c r="AJ43" s="72"/>
      <c r="AK43" s="85" t="s">
        <v>99</v>
      </c>
      <c r="AL43" s="79"/>
      <c r="AM43" s="136" t="s">
        <v>233</v>
      </c>
      <c r="AN43" s="137"/>
      <c r="AO43" s="138"/>
      <c r="AP43" s="72"/>
      <c r="AQ43" s="83" t="s">
        <v>99</v>
      </c>
      <c r="AR43" s="50"/>
      <c r="AS43" s="136" t="s">
        <v>234</v>
      </c>
      <c r="AT43" s="137"/>
      <c r="AU43" s="138"/>
      <c r="AV43" s="42"/>
      <c r="AW43" s="83" t="s">
        <v>99</v>
      </c>
    </row>
    <row r="44" spans="1:52" ht="19.5" customHeight="1" x14ac:dyDescent="0.25">
      <c r="A44" s="175"/>
      <c r="B44" s="50"/>
      <c r="C44" s="135" t="s">
        <v>248</v>
      </c>
      <c r="D44" s="127"/>
      <c r="E44" s="127"/>
      <c r="F44" s="127"/>
      <c r="G44" s="128"/>
      <c r="H44" s="50"/>
      <c r="I44" s="135" t="s">
        <v>162</v>
      </c>
      <c r="J44" s="127"/>
      <c r="K44" s="127"/>
      <c r="L44" s="127"/>
      <c r="M44" s="128"/>
      <c r="N44" s="50"/>
      <c r="O44" s="135" t="s">
        <v>163</v>
      </c>
      <c r="P44" s="127"/>
      <c r="Q44" s="127"/>
      <c r="R44" s="127"/>
      <c r="S44" s="128"/>
      <c r="T44" s="50"/>
      <c r="U44" s="135" t="s">
        <v>164</v>
      </c>
      <c r="V44" s="127"/>
      <c r="W44" s="127"/>
      <c r="X44" s="127"/>
      <c r="Y44" s="128"/>
      <c r="Z44" s="50"/>
      <c r="AA44" s="126" t="s">
        <v>176</v>
      </c>
      <c r="AB44" s="127"/>
      <c r="AC44" s="127"/>
      <c r="AD44" s="127"/>
      <c r="AE44" s="128"/>
      <c r="AF44" s="50"/>
      <c r="AG44" s="135" t="s">
        <v>130</v>
      </c>
      <c r="AH44" s="127"/>
      <c r="AI44" s="127"/>
      <c r="AJ44" s="127"/>
      <c r="AK44" s="128"/>
      <c r="AL44" s="78"/>
      <c r="AM44" s="126" t="s">
        <v>175</v>
      </c>
      <c r="AN44" s="127"/>
      <c r="AO44" s="127"/>
      <c r="AP44" s="127"/>
      <c r="AQ44" s="128"/>
      <c r="AR44" s="50"/>
      <c r="AS44" s="135" t="s">
        <v>139</v>
      </c>
      <c r="AT44" s="127"/>
      <c r="AU44" s="127"/>
      <c r="AV44" s="127"/>
      <c r="AW44" s="128"/>
      <c r="AY44" s="57" t="s">
        <v>3</v>
      </c>
      <c r="AZ44" s="97">
        <f>+C47+I47+O47+U47+AA47+AG47+AM47+AS47</f>
        <v>768</v>
      </c>
    </row>
    <row r="45" spans="1:52" ht="19.5" customHeight="1" x14ac:dyDescent="0.25">
      <c r="A45" s="175"/>
      <c r="B45" s="50"/>
      <c r="C45" s="129"/>
      <c r="D45" s="130"/>
      <c r="E45" s="130"/>
      <c r="F45" s="130"/>
      <c r="G45" s="131"/>
      <c r="H45" s="50"/>
      <c r="I45" s="129"/>
      <c r="J45" s="130"/>
      <c r="K45" s="130"/>
      <c r="L45" s="130"/>
      <c r="M45" s="131"/>
      <c r="N45" s="50"/>
      <c r="O45" s="129"/>
      <c r="P45" s="130"/>
      <c r="Q45" s="130"/>
      <c r="R45" s="130"/>
      <c r="S45" s="131"/>
      <c r="T45" s="50"/>
      <c r="U45" s="129"/>
      <c r="V45" s="130"/>
      <c r="W45" s="130"/>
      <c r="X45" s="130"/>
      <c r="Y45" s="131"/>
      <c r="Z45" s="50"/>
      <c r="AA45" s="129"/>
      <c r="AB45" s="130"/>
      <c r="AC45" s="130"/>
      <c r="AD45" s="130"/>
      <c r="AE45" s="131"/>
      <c r="AF45" s="50"/>
      <c r="AG45" s="129"/>
      <c r="AH45" s="130"/>
      <c r="AI45" s="130"/>
      <c r="AJ45" s="130"/>
      <c r="AK45" s="131"/>
      <c r="AL45" s="78"/>
      <c r="AM45" s="129"/>
      <c r="AN45" s="130"/>
      <c r="AO45" s="130"/>
      <c r="AP45" s="130"/>
      <c r="AQ45" s="131"/>
      <c r="AR45" s="50"/>
      <c r="AS45" s="129"/>
      <c r="AT45" s="130"/>
      <c r="AU45" s="130"/>
      <c r="AV45" s="130"/>
      <c r="AW45" s="131"/>
      <c r="AY45" s="58" t="s">
        <v>4</v>
      </c>
      <c r="AZ45" s="97">
        <f>+E47+K47+Q47+W47+AC47+AI47+AO47+AU47</f>
        <v>384</v>
      </c>
    </row>
    <row r="46" spans="1:52" ht="19.5" customHeight="1" x14ac:dyDescent="0.25">
      <c r="A46" s="175"/>
      <c r="B46" s="50"/>
      <c r="C46" s="132"/>
      <c r="D46" s="133"/>
      <c r="E46" s="133"/>
      <c r="F46" s="133"/>
      <c r="G46" s="134"/>
      <c r="H46" s="50"/>
      <c r="I46" s="132"/>
      <c r="J46" s="133"/>
      <c r="K46" s="133"/>
      <c r="L46" s="133"/>
      <c r="M46" s="134"/>
      <c r="N46" s="50"/>
      <c r="O46" s="132"/>
      <c r="P46" s="133"/>
      <c r="Q46" s="133"/>
      <c r="R46" s="133"/>
      <c r="S46" s="134"/>
      <c r="T46" s="50"/>
      <c r="U46" s="132"/>
      <c r="V46" s="133"/>
      <c r="W46" s="133"/>
      <c r="X46" s="133"/>
      <c r="Y46" s="134"/>
      <c r="Z46" s="50"/>
      <c r="AA46" s="132"/>
      <c r="AB46" s="133"/>
      <c r="AC46" s="133"/>
      <c r="AD46" s="133"/>
      <c r="AE46" s="134"/>
      <c r="AF46" s="50"/>
      <c r="AG46" s="132"/>
      <c r="AH46" s="133"/>
      <c r="AI46" s="133"/>
      <c r="AJ46" s="133"/>
      <c r="AK46" s="134"/>
      <c r="AL46" s="78"/>
      <c r="AM46" s="132"/>
      <c r="AN46" s="133"/>
      <c r="AO46" s="133"/>
      <c r="AP46" s="133"/>
      <c r="AQ46" s="134"/>
      <c r="AR46" s="50"/>
      <c r="AS46" s="132"/>
      <c r="AT46" s="133"/>
      <c r="AU46" s="133"/>
      <c r="AV46" s="133"/>
      <c r="AW46" s="134"/>
      <c r="AY46" s="59" t="s">
        <v>5</v>
      </c>
      <c r="AZ46" s="97">
        <f>+F47+L47+R47+X47+AD47+AJ47+AP47+AV47</f>
        <v>72</v>
      </c>
    </row>
    <row r="47" spans="1:52" ht="19.5" customHeight="1" x14ac:dyDescent="0.25">
      <c r="A47" s="176"/>
      <c r="B47" s="50"/>
      <c r="C47" s="94">
        <v>80</v>
      </c>
      <c r="D47" s="42"/>
      <c r="E47" s="95">
        <v>40</v>
      </c>
      <c r="F47" s="96">
        <v>7.5</v>
      </c>
      <c r="G47" s="86" t="s">
        <v>104</v>
      </c>
      <c r="H47" s="50"/>
      <c r="I47" s="94">
        <v>112</v>
      </c>
      <c r="J47" s="42"/>
      <c r="K47" s="95">
        <v>56</v>
      </c>
      <c r="L47" s="96">
        <v>10.5</v>
      </c>
      <c r="M47" s="86" t="s">
        <v>127</v>
      </c>
      <c r="N47" s="50"/>
      <c r="O47" s="94">
        <v>128</v>
      </c>
      <c r="P47" s="42"/>
      <c r="Q47" s="95">
        <v>64</v>
      </c>
      <c r="R47" s="96">
        <v>12</v>
      </c>
      <c r="S47" s="86" t="s">
        <v>105</v>
      </c>
      <c r="T47" s="50"/>
      <c r="U47" s="94">
        <v>96</v>
      </c>
      <c r="V47" s="42"/>
      <c r="W47" s="95">
        <v>48</v>
      </c>
      <c r="X47" s="96">
        <v>9</v>
      </c>
      <c r="Y47" s="86" t="s">
        <v>104</v>
      </c>
      <c r="Z47" s="50"/>
      <c r="AA47" s="94">
        <v>80</v>
      </c>
      <c r="AB47" s="42"/>
      <c r="AC47" s="95">
        <v>40</v>
      </c>
      <c r="AD47" s="96">
        <v>7.5</v>
      </c>
      <c r="AE47" s="86" t="s">
        <v>104</v>
      </c>
      <c r="AF47" s="50"/>
      <c r="AG47" s="94">
        <v>96</v>
      </c>
      <c r="AH47" s="42"/>
      <c r="AI47" s="95">
        <v>48</v>
      </c>
      <c r="AJ47" s="96">
        <v>9</v>
      </c>
      <c r="AK47" s="86" t="s">
        <v>123</v>
      </c>
      <c r="AL47" s="77"/>
      <c r="AM47" s="94">
        <v>80</v>
      </c>
      <c r="AN47" s="42"/>
      <c r="AO47" s="95">
        <v>40</v>
      </c>
      <c r="AP47" s="96">
        <v>7.5</v>
      </c>
      <c r="AQ47" s="86" t="s">
        <v>104</v>
      </c>
      <c r="AR47" s="50"/>
      <c r="AS47" s="94">
        <v>96</v>
      </c>
      <c r="AT47" s="42"/>
      <c r="AU47" s="95">
        <v>48</v>
      </c>
      <c r="AV47" s="96">
        <v>9</v>
      </c>
      <c r="AW47" s="86" t="s">
        <v>105</v>
      </c>
    </row>
    <row r="48" spans="1:52" ht="5.25" customHeight="1" x14ac:dyDescent="0.25">
      <c r="A48" s="55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</row>
    <row r="49" spans="1:52" ht="18.95" customHeight="1" x14ac:dyDescent="0.25">
      <c r="A49" s="174" t="s">
        <v>132</v>
      </c>
      <c r="B49" s="50"/>
      <c r="C49" s="136" t="s">
        <v>235</v>
      </c>
      <c r="D49" s="137"/>
      <c r="E49" s="138"/>
      <c r="F49" s="42"/>
      <c r="G49" s="83" t="s">
        <v>99</v>
      </c>
      <c r="H49" s="50"/>
      <c r="I49" s="136" t="s">
        <v>236</v>
      </c>
      <c r="J49" s="137"/>
      <c r="K49" s="138"/>
      <c r="L49" s="42" t="s">
        <v>227</v>
      </c>
      <c r="M49" s="83" t="s">
        <v>99</v>
      </c>
      <c r="N49" s="50"/>
      <c r="O49" s="136" t="s">
        <v>237</v>
      </c>
      <c r="P49" s="137"/>
      <c r="Q49" s="138"/>
      <c r="R49" s="72"/>
      <c r="S49" s="83" t="s">
        <v>99</v>
      </c>
      <c r="T49" s="50"/>
      <c r="U49" s="136" t="s">
        <v>238</v>
      </c>
      <c r="V49" s="137"/>
      <c r="W49" s="138"/>
      <c r="X49" s="72"/>
      <c r="Y49" s="83" t="s">
        <v>99</v>
      </c>
      <c r="Z49" s="50"/>
      <c r="AA49" s="136" t="s">
        <v>239</v>
      </c>
      <c r="AB49" s="137"/>
      <c r="AC49" s="138"/>
      <c r="AD49" s="72"/>
      <c r="AE49" s="83" t="s">
        <v>99</v>
      </c>
      <c r="AF49" s="50"/>
      <c r="AG49" s="136" t="s">
        <v>240</v>
      </c>
      <c r="AH49" s="137"/>
      <c r="AI49" s="138"/>
      <c r="AJ49" s="72"/>
      <c r="AK49" s="85" t="s">
        <v>99</v>
      </c>
      <c r="AL49" s="79"/>
      <c r="AM49" s="136" t="s">
        <v>241</v>
      </c>
      <c r="AN49" s="137"/>
      <c r="AO49" s="138"/>
      <c r="AP49" s="42"/>
      <c r="AQ49" s="83" t="s">
        <v>99</v>
      </c>
      <c r="AR49" s="50"/>
    </row>
    <row r="50" spans="1:52" ht="19.5" customHeight="1" x14ac:dyDescent="0.25">
      <c r="A50" s="175"/>
      <c r="B50" s="50"/>
      <c r="C50" s="135" t="s">
        <v>143</v>
      </c>
      <c r="D50" s="127"/>
      <c r="E50" s="127"/>
      <c r="F50" s="127"/>
      <c r="G50" s="128"/>
      <c r="H50" s="50"/>
      <c r="I50" s="135" t="s">
        <v>249</v>
      </c>
      <c r="J50" s="127"/>
      <c r="K50" s="127"/>
      <c r="L50" s="127"/>
      <c r="M50" s="128"/>
      <c r="N50" s="50"/>
      <c r="O50" s="135" t="s">
        <v>133</v>
      </c>
      <c r="P50" s="127"/>
      <c r="Q50" s="127"/>
      <c r="R50" s="127"/>
      <c r="S50" s="128"/>
      <c r="T50" s="50"/>
      <c r="U50" s="135" t="s">
        <v>165</v>
      </c>
      <c r="V50" s="127"/>
      <c r="W50" s="127"/>
      <c r="X50" s="127"/>
      <c r="Y50" s="128"/>
      <c r="Z50" s="50"/>
      <c r="AA50" s="135" t="s">
        <v>134</v>
      </c>
      <c r="AB50" s="127"/>
      <c r="AC50" s="127"/>
      <c r="AD50" s="127"/>
      <c r="AE50" s="128"/>
      <c r="AF50" s="50"/>
      <c r="AG50" s="135" t="s">
        <v>190</v>
      </c>
      <c r="AH50" s="127"/>
      <c r="AI50" s="127"/>
      <c r="AJ50" s="127"/>
      <c r="AK50" s="128"/>
      <c r="AL50" s="78"/>
      <c r="AM50" s="135" t="s">
        <v>259</v>
      </c>
      <c r="AN50" s="127"/>
      <c r="AO50" s="127"/>
      <c r="AP50" s="127"/>
      <c r="AQ50" s="128"/>
      <c r="AR50" s="50"/>
      <c r="AY50" s="57" t="s">
        <v>3</v>
      </c>
      <c r="AZ50" s="97">
        <f>+C53+I53+O53+U53+AA53+AG53+AM53</f>
        <v>768</v>
      </c>
    </row>
    <row r="51" spans="1:52" ht="19.5" customHeight="1" x14ac:dyDescent="0.25">
      <c r="A51" s="175"/>
      <c r="B51" s="50"/>
      <c r="C51" s="129"/>
      <c r="D51" s="130"/>
      <c r="E51" s="130"/>
      <c r="F51" s="130"/>
      <c r="G51" s="131"/>
      <c r="H51" s="50"/>
      <c r="I51" s="129"/>
      <c r="J51" s="130"/>
      <c r="K51" s="130"/>
      <c r="L51" s="130"/>
      <c r="M51" s="131"/>
      <c r="N51" s="50"/>
      <c r="O51" s="129"/>
      <c r="P51" s="130"/>
      <c r="Q51" s="130"/>
      <c r="R51" s="130"/>
      <c r="S51" s="131"/>
      <c r="T51" s="50"/>
      <c r="U51" s="129"/>
      <c r="V51" s="130"/>
      <c r="W51" s="130"/>
      <c r="X51" s="130"/>
      <c r="Y51" s="131"/>
      <c r="Z51" s="50"/>
      <c r="AA51" s="129"/>
      <c r="AB51" s="130"/>
      <c r="AC51" s="130"/>
      <c r="AD51" s="130"/>
      <c r="AE51" s="131"/>
      <c r="AF51" s="50"/>
      <c r="AG51" s="129"/>
      <c r="AH51" s="130"/>
      <c r="AI51" s="130"/>
      <c r="AJ51" s="130"/>
      <c r="AK51" s="131"/>
      <c r="AL51" s="78"/>
      <c r="AM51" s="129"/>
      <c r="AN51" s="130"/>
      <c r="AO51" s="130"/>
      <c r="AP51" s="130"/>
      <c r="AQ51" s="131"/>
      <c r="AR51" s="50"/>
      <c r="AY51" s="58" t="s">
        <v>4</v>
      </c>
      <c r="AZ51" s="97">
        <f>+E53+K53+Q53+W53+AC53+AI53+AO53</f>
        <v>384</v>
      </c>
    </row>
    <row r="52" spans="1:52" ht="19.5" customHeight="1" x14ac:dyDescent="0.25">
      <c r="A52" s="175"/>
      <c r="B52" s="50"/>
      <c r="C52" s="132"/>
      <c r="D52" s="133"/>
      <c r="E52" s="133"/>
      <c r="F52" s="133"/>
      <c r="G52" s="134"/>
      <c r="H52" s="50"/>
      <c r="I52" s="132"/>
      <c r="J52" s="133"/>
      <c r="K52" s="133"/>
      <c r="L52" s="133"/>
      <c r="M52" s="134"/>
      <c r="N52" s="50"/>
      <c r="O52" s="132"/>
      <c r="P52" s="133"/>
      <c r="Q52" s="133"/>
      <c r="R52" s="133"/>
      <c r="S52" s="134"/>
      <c r="T52" s="50"/>
      <c r="U52" s="132"/>
      <c r="V52" s="133"/>
      <c r="W52" s="133"/>
      <c r="X52" s="133"/>
      <c r="Y52" s="134"/>
      <c r="Z52" s="50"/>
      <c r="AA52" s="132"/>
      <c r="AB52" s="133"/>
      <c r="AC52" s="133"/>
      <c r="AD52" s="133"/>
      <c r="AE52" s="134"/>
      <c r="AF52" s="50"/>
      <c r="AG52" s="132"/>
      <c r="AH52" s="133"/>
      <c r="AI52" s="133"/>
      <c r="AJ52" s="133"/>
      <c r="AK52" s="134"/>
      <c r="AL52" s="78"/>
      <c r="AM52" s="132"/>
      <c r="AN52" s="133"/>
      <c r="AO52" s="133"/>
      <c r="AP52" s="133"/>
      <c r="AQ52" s="134"/>
      <c r="AR52" s="50"/>
      <c r="AY52" s="59" t="s">
        <v>5</v>
      </c>
      <c r="AZ52" s="97">
        <f>+F53+L53+R53+X53+AD53+AJ53+AP53</f>
        <v>72</v>
      </c>
    </row>
    <row r="53" spans="1:52" ht="19.5" customHeight="1" x14ac:dyDescent="0.25">
      <c r="A53" s="176"/>
      <c r="B53" s="50"/>
      <c r="C53" s="94">
        <v>96</v>
      </c>
      <c r="D53" s="42"/>
      <c r="E53" s="95">
        <v>48</v>
      </c>
      <c r="F53" s="96">
        <v>9</v>
      </c>
      <c r="G53" s="86" t="s">
        <v>131</v>
      </c>
      <c r="H53" s="50"/>
      <c r="I53" s="94">
        <v>96</v>
      </c>
      <c r="J53" s="42"/>
      <c r="K53" s="95">
        <v>48</v>
      </c>
      <c r="L53" s="96">
        <v>9</v>
      </c>
      <c r="M53" s="86" t="s">
        <v>104</v>
      </c>
      <c r="N53" s="50"/>
      <c r="O53" s="94">
        <v>128</v>
      </c>
      <c r="P53" s="42"/>
      <c r="Q53" s="95">
        <v>64</v>
      </c>
      <c r="R53" s="96">
        <v>12</v>
      </c>
      <c r="S53" s="86" t="s">
        <v>123</v>
      </c>
      <c r="T53" s="50"/>
      <c r="U53" s="94">
        <v>96</v>
      </c>
      <c r="V53" s="42"/>
      <c r="W53" s="95">
        <v>48</v>
      </c>
      <c r="X53" s="96">
        <v>9</v>
      </c>
      <c r="Y53" s="86" t="s">
        <v>104</v>
      </c>
      <c r="Z53" s="50"/>
      <c r="AA53" s="94">
        <v>128</v>
      </c>
      <c r="AB53" s="42"/>
      <c r="AC53" s="95">
        <v>64</v>
      </c>
      <c r="AD53" s="96">
        <v>12</v>
      </c>
      <c r="AE53" s="86" t="s">
        <v>104</v>
      </c>
      <c r="AF53" s="50"/>
      <c r="AG53" s="94">
        <v>96</v>
      </c>
      <c r="AH53" s="42"/>
      <c r="AI53" s="95">
        <v>48</v>
      </c>
      <c r="AJ53" s="96">
        <v>9</v>
      </c>
      <c r="AK53" s="113" t="s">
        <v>264</v>
      </c>
      <c r="AL53" s="80"/>
      <c r="AM53" s="94">
        <v>128</v>
      </c>
      <c r="AN53" s="42"/>
      <c r="AO53" s="95">
        <v>64</v>
      </c>
      <c r="AP53" s="96">
        <v>12</v>
      </c>
      <c r="AQ53" s="86" t="s">
        <v>105</v>
      </c>
      <c r="AR53" s="50"/>
    </row>
    <row r="54" spans="1:52" ht="5.25" customHeight="1" x14ac:dyDescent="0.25">
      <c r="A54" s="55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</row>
    <row r="55" spans="1:52" ht="5.25" customHeight="1" x14ac:dyDescent="0.25">
      <c r="H55" s="48"/>
      <c r="T55" s="48"/>
      <c r="Z55" s="48"/>
    </row>
    <row r="57" spans="1:52" ht="24" customHeight="1" x14ac:dyDescent="0.2">
      <c r="A57" s="4"/>
      <c r="B57" s="2"/>
      <c r="C57" s="150" t="s">
        <v>6</v>
      </c>
      <c r="D57" s="151"/>
      <c r="E57" s="152"/>
      <c r="F57" s="47" t="s">
        <v>7</v>
      </c>
      <c r="G57" s="62" t="s">
        <v>8</v>
      </c>
      <c r="O57" s="153" t="s">
        <v>9</v>
      </c>
      <c r="P57" s="154"/>
      <c r="Q57" s="154"/>
      <c r="R57" s="154"/>
      <c r="S57" s="155"/>
      <c r="AI57" s="118" t="s">
        <v>10</v>
      </c>
      <c r="AJ57" s="119"/>
      <c r="AK57" s="120"/>
      <c r="AL57" s="81"/>
      <c r="AM57" s="81"/>
      <c r="AN57" s="81"/>
      <c r="AO57" s="81"/>
      <c r="AP57" s="81"/>
    </row>
    <row r="58" spans="1:52" ht="12.75" customHeight="1" x14ac:dyDescent="0.2">
      <c r="A58" s="4"/>
      <c r="B58" s="2"/>
      <c r="C58" s="141" t="s">
        <v>11</v>
      </c>
      <c r="D58" s="142"/>
      <c r="E58" s="142"/>
      <c r="F58" s="142"/>
      <c r="G58" s="143"/>
      <c r="O58" s="156"/>
      <c r="P58" s="157"/>
      <c r="Q58" s="158"/>
      <c r="R58" s="168" t="s">
        <v>177</v>
      </c>
      <c r="S58" s="169"/>
      <c r="AI58" s="121"/>
      <c r="AJ58" s="122"/>
      <c r="AK58" s="123"/>
      <c r="AL58" s="81"/>
      <c r="AM58" s="81"/>
      <c r="AN58" s="81"/>
      <c r="AO58" s="81"/>
      <c r="AP58" s="81"/>
    </row>
    <row r="59" spans="1:52" ht="12.75" customHeight="1" x14ac:dyDescent="0.2">
      <c r="A59" s="4"/>
      <c r="B59" s="2"/>
      <c r="C59" s="144"/>
      <c r="D59" s="145"/>
      <c r="E59" s="145"/>
      <c r="F59" s="145"/>
      <c r="G59" s="146"/>
      <c r="O59" s="159"/>
      <c r="P59" s="160"/>
      <c r="Q59" s="161"/>
      <c r="R59" s="168" t="s">
        <v>178</v>
      </c>
      <c r="S59" s="169"/>
      <c r="AI59" s="124" t="s">
        <v>3</v>
      </c>
      <c r="AJ59" s="125"/>
      <c r="AK59" s="102">
        <f>SUM(AZ8,AZ14,AZ20,AZ26,AZ32,AZ38,AZ44,AZ50)</f>
        <v>6016</v>
      </c>
      <c r="AL59" s="82"/>
      <c r="AM59" s="82"/>
      <c r="AN59" s="82"/>
      <c r="AO59" s="82"/>
      <c r="AP59" s="82"/>
    </row>
    <row r="60" spans="1:52" ht="22.5" customHeight="1" x14ac:dyDescent="0.2">
      <c r="A60" s="140" t="s">
        <v>12</v>
      </c>
      <c r="B60" s="2"/>
      <c r="C60" s="147"/>
      <c r="D60" s="148"/>
      <c r="E60" s="148"/>
      <c r="F60" s="148"/>
      <c r="G60" s="149"/>
      <c r="O60" s="162"/>
      <c r="P60" s="163"/>
      <c r="Q60" s="164"/>
      <c r="R60" s="168" t="s">
        <v>179</v>
      </c>
      <c r="S60" s="169"/>
      <c r="AI60" s="114" t="s">
        <v>4</v>
      </c>
      <c r="AJ60" s="115"/>
      <c r="AK60" s="102">
        <f>SUM(AZ9,AZ15,AZ21,AZ27,AZ33,AZ39,AZ45,AZ51)</f>
        <v>3008</v>
      </c>
      <c r="AL60" s="82"/>
      <c r="AM60" s="82"/>
      <c r="AN60" s="82"/>
      <c r="AO60" s="82"/>
      <c r="AP60" s="82"/>
    </row>
    <row r="61" spans="1:52" ht="21.6" customHeight="1" x14ac:dyDescent="0.2">
      <c r="A61" s="140"/>
      <c r="B61" s="2"/>
      <c r="C61" s="60"/>
      <c r="D61" s="47"/>
      <c r="E61" s="56"/>
      <c r="F61" s="61" t="s">
        <v>13</v>
      </c>
      <c r="G61" s="63" t="s">
        <v>14</v>
      </c>
      <c r="O61" s="165"/>
      <c r="P61" s="166"/>
      <c r="Q61" s="167"/>
      <c r="R61" s="168" t="s">
        <v>180</v>
      </c>
      <c r="S61" s="169"/>
      <c r="AI61" s="116" t="s">
        <v>5</v>
      </c>
      <c r="AJ61" s="117"/>
      <c r="AK61" s="103">
        <f>SUM(AZ10,AZ16,AZ22,AZ28,AZ34,AZ40,AZ46,AZ52)</f>
        <v>564</v>
      </c>
      <c r="AL61" s="82"/>
      <c r="AM61" s="82"/>
      <c r="AN61" s="82"/>
      <c r="AO61" s="82"/>
      <c r="AP61" s="82"/>
    </row>
    <row r="62" spans="1:52" ht="15.95" customHeight="1" x14ac:dyDescent="0.2">
      <c r="A62" s="4"/>
      <c r="B62" s="2"/>
      <c r="C62" s="5"/>
      <c r="D62" s="3"/>
    </row>
    <row r="63" spans="1:52" x14ac:dyDescent="0.25">
      <c r="E63" s="139" t="s">
        <v>15</v>
      </c>
      <c r="F63" s="139"/>
      <c r="G63" s="139"/>
    </row>
  </sheetData>
  <mergeCells count="161">
    <mergeCell ref="AS37:AU37"/>
    <mergeCell ref="AS38:AW40"/>
    <mergeCell ref="AM43:AO43"/>
    <mergeCell ref="AM44:AQ46"/>
    <mergeCell ref="AM49:AO49"/>
    <mergeCell ref="AM50:AQ52"/>
    <mergeCell ref="AM19:AO19"/>
    <mergeCell ref="AM20:AQ22"/>
    <mergeCell ref="AM25:AO25"/>
    <mergeCell ref="AM26:AQ28"/>
    <mergeCell ref="AM31:AO31"/>
    <mergeCell ref="AM32:AQ34"/>
    <mergeCell ref="AM37:AO37"/>
    <mergeCell ref="AM38:AQ40"/>
    <mergeCell ref="AS19:AU19"/>
    <mergeCell ref="AS20:AW22"/>
    <mergeCell ref="AS31:AU31"/>
    <mergeCell ref="AS32:AW34"/>
    <mergeCell ref="AS43:AU43"/>
    <mergeCell ref="AS44:AW46"/>
    <mergeCell ref="AY1:AZ1"/>
    <mergeCell ref="A13:A17"/>
    <mergeCell ref="C13:E13"/>
    <mergeCell ref="I13:K13"/>
    <mergeCell ref="O13:Q13"/>
    <mergeCell ref="U13:W13"/>
    <mergeCell ref="AA13:AC13"/>
    <mergeCell ref="AA7:AC7"/>
    <mergeCell ref="AA8:AE10"/>
    <mergeCell ref="O7:Q7"/>
    <mergeCell ref="O8:S10"/>
    <mergeCell ref="C7:E7"/>
    <mergeCell ref="C8:G10"/>
    <mergeCell ref="A7:A11"/>
    <mergeCell ref="I7:K7"/>
    <mergeCell ref="I8:M10"/>
    <mergeCell ref="AG13:AI13"/>
    <mergeCell ref="C14:G16"/>
    <mergeCell ref="I14:M16"/>
    <mergeCell ref="O14:S16"/>
    <mergeCell ref="U14:Y16"/>
    <mergeCell ref="O2:Y2"/>
    <mergeCell ref="O3:Y3"/>
    <mergeCell ref="O4:Y4"/>
    <mergeCell ref="A49:A53"/>
    <mergeCell ref="C18:E18"/>
    <mergeCell ref="I18:K18"/>
    <mergeCell ref="O18:Q18"/>
    <mergeCell ref="C42:E42"/>
    <mergeCell ref="I42:K42"/>
    <mergeCell ref="O42:Q42"/>
    <mergeCell ref="U42:W42"/>
    <mergeCell ref="AA42:AC42"/>
    <mergeCell ref="A37:A41"/>
    <mergeCell ref="C37:E37"/>
    <mergeCell ref="I37:K37"/>
    <mergeCell ref="O37:Q37"/>
    <mergeCell ref="U37:W37"/>
    <mergeCell ref="C38:G40"/>
    <mergeCell ref="I38:M40"/>
    <mergeCell ref="O38:S40"/>
    <mergeCell ref="U38:Y40"/>
    <mergeCell ref="AA38:AE40"/>
    <mergeCell ref="I20:M22"/>
    <mergeCell ref="A19:A23"/>
    <mergeCell ref="C30:E30"/>
    <mergeCell ref="I30:K30"/>
    <mergeCell ref="O30:Q30"/>
    <mergeCell ref="C50:G52"/>
    <mergeCell ref="I50:M52"/>
    <mergeCell ref="O50:S52"/>
    <mergeCell ref="U50:Y52"/>
    <mergeCell ref="AA43:AC43"/>
    <mergeCell ref="O44:S46"/>
    <mergeCell ref="U44:Y46"/>
    <mergeCell ref="AG30:AI30"/>
    <mergeCell ref="C19:E19"/>
    <mergeCell ref="I19:K19"/>
    <mergeCell ref="O19:Q19"/>
    <mergeCell ref="U19:W19"/>
    <mergeCell ref="AA32:AE34"/>
    <mergeCell ref="AA30:AC30"/>
    <mergeCell ref="AA19:AC19"/>
    <mergeCell ref="C20:G22"/>
    <mergeCell ref="U30:W30"/>
    <mergeCell ref="C25:E25"/>
    <mergeCell ref="I25:K25"/>
    <mergeCell ref="O25:Q25"/>
    <mergeCell ref="U25:W25"/>
    <mergeCell ref="C31:E31"/>
    <mergeCell ref="I31:K31"/>
    <mergeCell ref="O31:Q31"/>
    <mergeCell ref="U20:Y22"/>
    <mergeCell ref="AG25:AI25"/>
    <mergeCell ref="AA25:AC25"/>
    <mergeCell ref="AA20:AE22"/>
    <mergeCell ref="AG20:AK22"/>
    <mergeCell ref="AA14:AE16"/>
    <mergeCell ref="AG14:AK16"/>
    <mergeCell ref="A43:A47"/>
    <mergeCell ref="C43:E43"/>
    <mergeCell ref="I43:K43"/>
    <mergeCell ref="O43:Q43"/>
    <mergeCell ref="U43:W43"/>
    <mergeCell ref="U18:W18"/>
    <mergeCell ref="A25:A29"/>
    <mergeCell ref="A31:A35"/>
    <mergeCell ref="U31:W31"/>
    <mergeCell ref="C32:G34"/>
    <mergeCell ref="I32:M34"/>
    <mergeCell ref="O32:S34"/>
    <mergeCell ref="U32:Y34"/>
    <mergeCell ref="U7:W7"/>
    <mergeCell ref="C49:E49"/>
    <mergeCell ref="I49:K49"/>
    <mergeCell ref="O49:Q49"/>
    <mergeCell ref="U49:W49"/>
    <mergeCell ref="AA49:AC49"/>
    <mergeCell ref="AG43:AI43"/>
    <mergeCell ref="C44:G46"/>
    <mergeCell ref="I44:M46"/>
    <mergeCell ref="AA26:AE28"/>
    <mergeCell ref="AG42:AI42"/>
    <mergeCell ref="AG31:AI31"/>
    <mergeCell ref="AG32:AK34"/>
    <mergeCell ref="C26:G28"/>
    <mergeCell ref="I26:M28"/>
    <mergeCell ref="O26:S28"/>
    <mergeCell ref="U26:Y28"/>
    <mergeCell ref="AG26:AK28"/>
    <mergeCell ref="U8:Y10"/>
    <mergeCell ref="AA18:AC18"/>
    <mergeCell ref="AG18:AI18"/>
    <mergeCell ref="AA31:AC31"/>
    <mergeCell ref="AG19:AI19"/>
    <mergeCell ref="O20:S22"/>
    <mergeCell ref="E63:G63"/>
    <mergeCell ref="A60:A61"/>
    <mergeCell ref="C58:G60"/>
    <mergeCell ref="C57:E57"/>
    <mergeCell ref="O57:S57"/>
    <mergeCell ref="O58:Q58"/>
    <mergeCell ref="O59:Q59"/>
    <mergeCell ref="O60:Q60"/>
    <mergeCell ref="O61:Q61"/>
    <mergeCell ref="R58:S58"/>
    <mergeCell ref="R59:S59"/>
    <mergeCell ref="R60:S60"/>
    <mergeCell ref="R61:S61"/>
    <mergeCell ref="AI60:AJ60"/>
    <mergeCell ref="AI61:AJ61"/>
    <mergeCell ref="AI57:AK58"/>
    <mergeCell ref="AI59:AJ59"/>
    <mergeCell ref="AA44:AE46"/>
    <mergeCell ref="AG44:AK46"/>
    <mergeCell ref="AG37:AI37"/>
    <mergeCell ref="AG38:AK40"/>
    <mergeCell ref="AA37:AC37"/>
    <mergeCell ref="AA50:AE52"/>
    <mergeCell ref="AG50:AK52"/>
    <mergeCell ref="AG49:AI49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zoomScale="87" workbookViewId="0">
      <selection activeCell="J22" sqref="J22"/>
    </sheetView>
  </sheetViews>
  <sheetFormatPr baseColWidth="10" defaultRowHeight="15" x14ac:dyDescent="0.25"/>
  <cols>
    <col min="1" max="1" width="8.28515625" customWidth="1"/>
    <col min="2" max="2" width="21.7109375" customWidth="1"/>
    <col min="3" max="4" width="9.85546875" customWidth="1"/>
    <col min="5" max="5" width="11.140625" customWidth="1"/>
    <col min="6" max="6" width="14.42578125" customWidth="1"/>
    <col min="7" max="7" width="9.42578125" customWidth="1"/>
    <col min="8" max="8" width="16.140625" customWidth="1"/>
  </cols>
  <sheetData>
    <row r="1" spans="1:9" ht="15.75" x14ac:dyDescent="0.25">
      <c r="H1" s="9" t="s">
        <v>0</v>
      </c>
    </row>
    <row r="2" spans="1:9" s="13" customFormat="1" ht="15.75" x14ac:dyDescent="0.25">
      <c r="B2" s="38"/>
      <c r="C2" s="198" t="s">
        <v>1</v>
      </c>
      <c r="D2" s="198"/>
      <c r="E2" s="198"/>
      <c r="F2" s="38"/>
      <c r="G2" s="38"/>
      <c r="H2" s="39"/>
    </row>
    <row r="3" spans="1:9" ht="15.75" x14ac:dyDescent="0.25">
      <c r="H3" s="9"/>
    </row>
    <row r="4" spans="1:9" ht="27" customHeight="1" x14ac:dyDescent="0.25">
      <c r="B4" s="199" t="s">
        <v>16</v>
      </c>
      <c r="C4" s="199"/>
      <c r="D4" s="199"/>
      <c r="E4" s="199"/>
      <c r="F4" s="199"/>
      <c r="G4" s="199"/>
      <c r="H4" s="9"/>
    </row>
    <row r="5" spans="1:9" ht="27.75" customHeight="1" x14ac:dyDescent="0.25">
      <c r="A5" s="193" t="s">
        <v>2</v>
      </c>
      <c r="B5" s="193" t="s">
        <v>17</v>
      </c>
      <c r="C5" s="193" t="s">
        <v>6</v>
      </c>
      <c r="D5" s="193" t="s">
        <v>7</v>
      </c>
      <c r="E5" s="193" t="s">
        <v>18</v>
      </c>
      <c r="F5" s="193"/>
      <c r="G5" s="193" t="s">
        <v>13</v>
      </c>
      <c r="H5" s="193" t="s">
        <v>19</v>
      </c>
      <c r="I5" s="6"/>
    </row>
    <row r="6" spans="1:9" ht="29.25" customHeight="1" x14ac:dyDescent="0.25">
      <c r="A6" s="193"/>
      <c r="B6" s="193"/>
      <c r="C6" s="193"/>
      <c r="D6" s="193"/>
      <c r="E6" s="54" t="s">
        <v>20</v>
      </c>
      <c r="F6" s="54" t="s">
        <v>21</v>
      </c>
      <c r="G6" s="193"/>
      <c r="H6" s="193"/>
      <c r="I6" s="6"/>
    </row>
    <row r="7" spans="1:9" ht="30" customHeight="1" x14ac:dyDescent="0.25">
      <c r="A7" s="66"/>
      <c r="B7" s="104"/>
      <c r="C7" s="105"/>
      <c r="D7" s="106"/>
      <c r="E7" s="106"/>
      <c r="F7" s="106"/>
      <c r="G7" s="106"/>
      <c r="H7" s="65"/>
    </row>
    <row r="8" spans="1:9" ht="30" customHeight="1" x14ac:dyDescent="0.25">
      <c r="A8" s="66"/>
      <c r="B8" s="107"/>
      <c r="C8" s="107"/>
      <c r="D8" s="106"/>
      <c r="E8" s="106"/>
      <c r="F8" s="106"/>
      <c r="G8" s="106"/>
      <c r="H8" s="65"/>
    </row>
    <row r="9" spans="1:9" ht="30" customHeight="1" x14ac:dyDescent="0.25">
      <c r="A9" s="66"/>
      <c r="B9" s="107"/>
      <c r="C9" s="107"/>
      <c r="D9" s="106"/>
      <c r="E9" s="106"/>
      <c r="F9" s="107"/>
      <c r="G9" s="106"/>
      <c r="H9" s="65"/>
    </row>
    <row r="10" spans="1:9" ht="30" customHeight="1" x14ac:dyDescent="0.25">
      <c r="A10" s="66"/>
      <c r="B10" s="107"/>
      <c r="C10" s="107"/>
      <c r="D10" s="106"/>
      <c r="E10" s="106"/>
      <c r="F10" s="106"/>
      <c r="G10" s="106"/>
      <c r="H10" s="71"/>
    </row>
    <row r="11" spans="1:9" ht="30" customHeight="1" x14ac:dyDescent="0.25">
      <c r="A11" s="66"/>
      <c r="B11" s="107"/>
      <c r="C11" s="107"/>
      <c r="D11" s="106"/>
      <c r="E11" s="106"/>
      <c r="F11" s="106"/>
      <c r="G11" s="106"/>
      <c r="H11" s="65"/>
    </row>
    <row r="12" spans="1:9" ht="30" customHeight="1" x14ac:dyDescent="0.25">
      <c r="A12" s="66"/>
      <c r="B12" s="107"/>
      <c r="C12" s="107"/>
      <c r="D12" s="107"/>
      <c r="E12" s="106"/>
      <c r="F12" s="106"/>
      <c r="G12" s="106"/>
      <c r="H12" s="65"/>
    </row>
    <row r="14" spans="1:9" x14ac:dyDescent="0.25">
      <c r="A14" s="8"/>
    </row>
    <row r="16" spans="1:9" ht="27.75" customHeight="1" x14ac:dyDescent="0.25">
      <c r="B16" s="199" t="s">
        <v>22</v>
      </c>
      <c r="C16" s="199"/>
      <c r="D16" s="199"/>
      <c r="E16" s="199"/>
      <c r="F16" s="199"/>
      <c r="G16" s="199"/>
    </row>
    <row r="17" spans="2:7" ht="19.5" customHeight="1" x14ac:dyDescent="0.25">
      <c r="B17" s="202" t="s">
        <v>12</v>
      </c>
      <c r="C17" s="202"/>
      <c r="D17" s="202"/>
      <c r="E17" s="202"/>
      <c r="F17" s="202">
        <f>SUM(E7:E12)</f>
        <v>0</v>
      </c>
      <c r="G17" s="202"/>
    </row>
    <row r="18" spans="2:7" ht="16.5" customHeight="1" x14ac:dyDescent="0.25">
      <c r="B18" s="203" t="s">
        <v>13</v>
      </c>
      <c r="C18" s="203"/>
      <c r="D18" s="203"/>
      <c r="E18" s="203"/>
      <c r="F18" s="202">
        <f>SUM(G7:G12)</f>
        <v>0</v>
      </c>
      <c r="G18" s="202"/>
    </row>
    <row r="19" spans="2:7" ht="16.5" customHeight="1" x14ac:dyDescent="0.25">
      <c r="B19" s="10"/>
      <c r="C19" s="10"/>
      <c r="D19" s="10"/>
      <c r="E19" s="10"/>
      <c r="F19" s="11"/>
      <c r="G19" s="11"/>
    </row>
    <row r="20" spans="2:7" ht="16.5" customHeight="1" x14ac:dyDescent="0.25">
      <c r="B20" s="10"/>
      <c r="C20" s="10"/>
      <c r="D20" s="10"/>
      <c r="E20" s="10"/>
      <c r="F20" s="11"/>
      <c r="G20" s="11"/>
    </row>
    <row r="21" spans="2:7" x14ac:dyDescent="0.25">
      <c r="B21" s="7"/>
      <c r="C21" s="7"/>
      <c r="D21" s="7"/>
      <c r="E21" s="7"/>
      <c r="F21" s="7"/>
      <c r="G21" s="7"/>
    </row>
    <row r="22" spans="2:7" x14ac:dyDescent="0.25">
      <c r="B22" s="199" t="s">
        <v>23</v>
      </c>
      <c r="C22" s="199"/>
      <c r="D22" s="199"/>
      <c r="E22" s="199"/>
      <c r="F22" s="199"/>
      <c r="G22" s="199"/>
    </row>
    <row r="23" spans="2:7" ht="38.25" customHeight="1" x14ac:dyDescent="0.25">
      <c r="B23" s="54" t="s">
        <v>8</v>
      </c>
      <c r="C23" s="204" t="s">
        <v>12</v>
      </c>
      <c r="D23" s="204"/>
      <c r="E23" s="204" t="s">
        <v>15</v>
      </c>
      <c r="F23" s="204"/>
      <c r="G23" s="54" t="s">
        <v>13</v>
      </c>
    </row>
    <row r="24" spans="2:7" x14ac:dyDescent="0.25">
      <c r="B24" s="43" t="s">
        <v>24</v>
      </c>
      <c r="C24" s="194">
        <f>+'RÍGIDO-Anexo 2 (A)'!AK59</f>
        <v>6016</v>
      </c>
      <c r="D24" s="195"/>
      <c r="E24" s="194">
        <f>+'RÍGIDO-Anexo 2 (A)'!AK60</f>
        <v>3008</v>
      </c>
      <c r="F24" s="195"/>
      <c r="G24" s="108">
        <f>+'RÍGIDO-Anexo 2 (A)'!AK61</f>
        <v>564</v>
      </c>
    </row>
    <row r="25" spans="2:7" x14ac:dyDescent="0.25">
      <c r="B25" s="43" t="s">
        <v>25</v>
      </c>
      <c r="C25" s="196">
        <f>SUM(E7:E12)</f>
        <v>0</v>
      </c>
      <c r="D25" s="197"/>
      <c r="E25" s="196">
        <f>SUM(F7:F12)</f>
        <v>0</v>
      </c>
      <c r="F25" s="197"/>
      <c r="G25" s="43">
        <f>SUM(G7:G12)</f>
        <v>0</v>
      </c>
    </row>
    <row r="26" spans="2:7" x14ac:dyDescent="0.25">
      <c r="B26" s="44"/>
      <c r="C26" s="44"/>
      <c r="D26" s="44"/>
      <c r="E26" s="44"/>
      <c r="F26" s="44"/>
      <c r="G26" s="44"/>
    </row>
    <row r="27" spans="2:7" x14ac:dyDescent="0.25">
      <c r="B27" s="43" t="s">
        <v>26</v>
      </c>
      <c r="C27" s="200">
        <f>SUM(C24,C25)</f>
        <v>6016</v>
      </c>
      <c r="D27" s="201"/>
      <c r="E27" s="200">
        <f>SUM(E24,E25)</f>
        <v>3008</v>
      </c>
      <c r="F27" s="201"/>
      <c r="G27" s="45">
        <f>SUM(G24,G25)</f>
        <v>564</v>
      </c>
    </row>
  </sheetData>
  <mergeCells count="23">
    <mergeCell ref="H5:H6"/>
    <mergeCell ref="C5:C6"/>
    <mergeCell ref="D5:D6"/>
    <mergeCell ref="G5:G6"/>
    <mergeCell ref="C27:D27"/>
    <mergeCell ref="E24:F24"/>
    <mergeCell ref="E25:F25"/>
    <mergeCell ref="E27:F27"/>
    <mergeCell ref="B16:G16"/>
    <mergeCell ref="B17:E17"/>
    <mergeCell ref="B18:E18"/>
    <mergeCell ref="F17:G17"/>
    <mergeCell ref="F18:G18"/>
    <mergeCell ref="B22:G22"/>
    <mergeCell ref="C23:D23"/>
    <mergeCell ref="E23:F23"/>
    <mergeCell ref="A5:A6"/>
    <mergeCell ref="B5:B6"/>
    <mergeCell ref="C24:D24"/>
    <mergeCell ref="C25:D25"/>
    <mergeCell ref="C2:E2"/>
    <mergeCell ref="B4:G4"/>
    <mergeCell ref="E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zoomScale="135" zoomScaleNormal="100" workbookViewId="0">
      <selection activeCell="I75" sqref="I75"/>
    </sheetView>
  </sheetViews>
  <sheetFormatPr baseColWidth="10" defaultRowHeight="15" x14ac:dyDescent="0.25"/>
  <cols>
    <col min="1" max="1" width="17.42578125" customWidth="1"/>
    <col min="2" max="2" width="21.7109375" customWidth="1"/>
    <col min="3" max="3" width="11" customWidth="1"/>
    <col min="4" max="4" width="9.85546875" customWidth="1"/>
    <col min="5" max="5" width="11.140625" customWidth="1"/>
    <col min="6" max="6" width="14.42578125" customWidth="1"/>
    <col min="7" max="7" width="9.42578125" customWidth="1"/>
    <col min="8" max="8" width="14.42578125" customWidth="1"/>
    <col min="9" max="9" width="38.7109375" customWidth="1"/>
  </cols>
  <sheetData>
    <row r="1" spans="1:9" ht="15.75" x14ac:dyDescent="0.25">
      <c r="H1" s="9" t="s">
        <v>0</v>
      </c>
    </row>
    <row r="2" spans="1:9" s="13" customFormat="1" ht="15.75" x14ac:dyDescent="0.25">
      <c r="B2" s="38"/>
      <c r="C2" s="198" t="s">
        <v>1</v>
      </c>
      <c r="D2" s="198"/>
      <c r="E2" s="198"/>
      <c r="F2" s="38"/>
      <c r="G2" s="38"/>
      <c r="H2" s="39"/>
    </row>
    <row r="3" spans="1:9" ht="15.75" x14ac:dyDescent="0.25">
      <c r="B3" s="7"/>
      <c r="C3" s="7"/>
      <c r="D3" s="7"/>
      <c r="E3" s="7"/>
      <c r="F3" s="7"/>
      <c r="G3" s="7"/>
      <c r="H3" s="9"/>
    </row>
    <row r="4" spans="1:9" ht="26.25" customHeight="1" x14ac:dyDescent="0.25">
      <c r="B4" s="205" t="s">
        <v>144</v>
      </c>
      <c r="C4" s="205"/>
      <c r="D4" s="205"/>
      <c r="E4" s="205"/>
      <c r="F4" s="205"/>
      <c r="G4" s="205"/>
    </row>
    <row r="5" spans="1:9" ht="27.75" customHeight="1" x14ac:dyDescent="0.25">
      <c r="A5" s="193" t="s">
        <v>27</v>
      </c>
      <c r="B5" s="193" t="s">
        <v>17</v>
      </c>
      <c r="C5" s="193" t="s">
        <v>6</v>
      </c>
      <c r="D5" s="193" t="s">
        <v>7</v>
      </c>
      <c r="E5" s="193" t="s">
        <v>18</v>
      </c>
      <c r="F5" s="193"/>
      <c r="G5" s="193" t="s">
        <v>13</v>
      </c>
      <c r="H5" s="193" t="s">
        <v>19</v>
      </c>
      <c r="I5" s="6"/>
    </row>
    <row r="6" spans="1:9" ht="29.25" customHeight="1" x14ac:dyDescent="0.25">
      <c r="A6" s="193"/>
      <c r="B6" s="193"/>
      <c r="C6" s="193"/>
      <c r="D6" s="193"/>
      <c r="E6" s="54" t="s">
        <v>20</v>
      </c>
      <c r="F6" s="54" t="s">
        <v>21</v>
      </c>
      <c r="G6" s="193"/>
      <c r="H6" s="193"/>
      <c r="I6" s="6"/>
    </row>
    <row r="7" spans="1:9" ht="27.95" customHeight="1" x14ac:dyDescent="0.25">
      <c r="A7" s="206" t="s">
        <v>177</v>
      </c>
      <c r="B7" s="69" t="s">
        <v>100</v>
      </c>
      <c r="C7" s="109" t="s">
        <v>166</v>
      </c>
      <c r="D7" s="69"/>
      <c r="E7" s="69">
        <f>+'RÍGIDO-Anexo 2 (A)'!I11</f>
        <v>128</v>
      </c>
      <c r="F7" s="69">
        <f t="shared" ref="F7:F10" si="0">+E7/2</f>
        <v>64</v>
      </c>
      <c r="G7" s="69">
        <f t="shared" ref="G7:G10" si="1">(E7+F7)*0.0625</f>
        <v>12</v>
      </c>
      <c r="H7" s="74" t="s">
        <v>138</v>
      </c>
    </row>
    <row r="8" spans="1:9" ht="27.95" customHeight="1" x14ac:dyDescent="0.25">
      <c r="A8" s="207"/>
      <c r="B8" s="88" t="s">
        <v>103</v>
      </c>
      <c r="C8" s="87" t="s">
        <v>167</v>
      </c>
      <c r="D8" s="69"/>
      <c r="E8" s="69">
        <f>+'RÍGIDO-Anexo 2 (A)'!AA11</f>
        <v>128</v>
      </c>
      <c r="F8" s="69">
        <f t="shared" si="0"/>
        <v>64</v>
      </c>
      <c r="G8" s="69">
        <f t="shared" si="1"/>
        <v>12</v>
      </c>
      <c r="H8" s="74" t="s">
        <v>257</v>
      </c>
    </row>
    <row r="9" spans="1:9" ht="27.95" customHeight="1" x14ac:dyDescent="0.25">
      <c r="A9" s="207"/>
      <c r="B9" s="69" t="s">
        <v>107</v>
      </c>
      <c r="C9" s="74" t="s">
        <v>192</v>
      </c>
      <c r="D9" s="87"/>
      <c r="E9" s="69">
        <f>+'RÍGIDO-Anexo 2 (A)'!I17</f>
        <v>128</v>
      </c>
      <c r="F9" s="69">
        <f t="shared" si="0"/>
        <v>64</v>
      </c>
      <c r="G9" s="69">
        <f t="shared" si="1"/>
        <v>12</v>
      </c>
      <c r="H9" s="69" t="s">
        <v>138</v>
      </c>
    </row>
    <row r="10" spans="1:9" ht="27.95" customHeight="1" x14ac:dyDescent="0.25">
      <c r="A10" s="208"/>
      <c r="B10" s="87" t="s">
        <v>108</v>
      </c>
      <c r="C10" s="74" t="s">
        <v>193</v>
      </c>
      <c r="D10" s="87"/>
      <c r="E10" s="69">
        <f>+'RÍGIDO-Anexo 2 (A)'!O17</f>
        <v>128</v>
      </c>
      <c r="F10" s="69">
        <f t="shared" si="0"/>
        <v>64</v>
      </c>
      <c r="G10" s="69">
        <f t="shared" si="1"/>
        <v>12</v>
      </c>
      <c r="H10" s="69" t="s">
        <v>138</v>
      </c>
    </row>
    <row r="11" spans="1:9" ht="27.95" customHeight="1" x14ac:dyDescent="0.25">
      <c r="A11" s="209"/>
      <c r="B11" s="69" t="s">
        <v>111</v>
      </c>
      <c r="C11" s="74" t="s">
        <v>200</v>
      </c>
      <c r="D11" s="69"/>
      <c r="E11" s="69">
        <f>+'RÍGIDO-Anexo 2 (A)'!U23</f>
        <v>112</v>
      </c>
      <c r="F11" s="69">
        <f>+E11/2</f>
        <v>56</v>
      </c>
      <c r="G11" s="69">
        <f t="shared" ref="G11:G52" si="2">(E11+F11)*0.0625</f>
        <v>10.5</v>
      </c>
      <c r="H11" s="69" t="s">
        <v>145</v>
      </c>
    </row>
    <row r="12" spans="1:9" ht="27.95" customHeight="1" x14ac:dyDescent="0.25">
      <c r="A12" s="209"/>
      <c r="B12" s="89" t="s">
        <v>183</v>
      </c>
      <c r="C12" s="74" t="s">
        <v>201</v>
      </c>
      <c r="D12" s="87"/>
      <c r="E12" s="69">
        <f>+'RÍGIDO-Anexo 2 (A)'!AA23</f>
        <v>112</v>
      </c>
      <c r="F12" s="69">
        <f>+E12/2</f>
        <v>56</v>
      </c>
      <c r="G12" s="69">
        <f t="shared" si="2"/>
        <v>10.5</v>
      </c>
      <c r="H12" s="74" t="s">
        <v>145</v>
      </c>
    </row>
    <row r="13" spans="1:9" ht="27.95" customHeight="1" x14ac:dyDescent="0.25">
      <c r="A13" s="209"/>
      <c r="B13" s="69" t="s">
        <v>116</v>
      </c>
      <c r="C13" s="74" t="s">
        <v>207</v>
      </c>
      <c r="D13" s="74" t="s">
        <v>200</v>
      </c>
      <c r="E13" s="69">
        <f>+'RÍGIDO-Anexo 2 (A)'!O29</f>
        <v>96</v>
      </c>
      <c r="F13" s="69">
        <f t="shared" ref="F13:F67" si="3">+E13/2</f>
        <v>48</v>
      </c>
      <c r="G13" s="69">
        <f t="shared" si="2"/>
        <v>9</v>
      </c>
      <c r="H13" s="69" t="s">
        <v>138</v>
      </c>
    </row>
    <row r="14" spans="1:9" ht="27.95" customHeight="1" x14ac:dyDescent="0.25">
      <c r="A14" s="210"/>
      <c r="B14" s="89" t="s">
        <v>182</v>
      </c>
      <c r="C14" s="74" t="s">
        <v>208</v>
      </c>
      <c r="D14" s="74" t="s">
        <v>201</v>
      </c>
      <c r="E14" s="69">
        <f>+'RÍGIDO-Anexo 2 (A)'!U29</f>
        <v>96</v>
      </c>
      <c r="F14" s="69">
        <f t="shared" si="3"/>
        <v>48</v>
      </c>
      <c r="G14" s="69">
        <f t="shared" si="2"/>
        <v>9</v>
      </c>
      <c r="H14" s="74" t="s">
        <v>145</v>
      </c>
      <c r="I14" s="6"/>
    </row>
    <row r="15" spans="1:9" ht="27.95" customHeight="1" x14ac:dyDescent="0.25">
      <c r="A15" s="210"/>
      <c r="B15" s="87" t="s">
        <v>120</v>
      </c>
      <c r="C15" s="74" t="s">
        <v>215</v>
      </c>
      <c r="D15" s="87"/>
      <c r="E15" s="69">
        <f>+'RÍGIDO-Anexo 2 (A)'!U35</f>
        <v>96</v>
      </c>
      <c r="F15" s="69">
        <f t="shared" si="3"/>
        <v>48</v>
      </c>
      <c r="G15" s="69">
        <f t="shared" si="2"/>
        <v>9</v>
      </c>
      <c r="H15" s="74" t="s">
        <v>138</v>
      </c>
      <c r="I15" s="6"/>
    </row>
    <row r="16" spans="1:9" ht="27.95" customHeight="1" x14ac:dyDescent="0.25">
      <c r="A16" s="211"/>
      <c r="B16" s="87" t="s">
        <v>121</v>
      </c>
      <c r="C16" s="74" t="s">
        <v>216</v>
      </c>
      <c r="D16" s="74"/>
      <c r="E16" s="69">
        <f>+'RÍGIDO-Anexo 2 (A)'!AA35</f>
        <v>112</v>
      </c>
      <c r="F16" s="69">
        <f t="shared" si="3"/>
        <v>56</v>
      </c>
      <c r="G16" s="69">
        <f t="shared" si="2"/>
        <v>10.5</v>
      </c>
      <c r="H16" s="69" t="s">
        <v>145</v>
      </c>
    </row>
    <row r="17" spans="1:10" ht="27.95" customHeight="1" x14ac:dyDescent="0.25">
      <c r="A17" s="207"/>
      <c r="B17" s="87" t="s">
        <v>122</v>
      </c>
      <c r="C17" s="74" t="s">
        <v>219</v>
      </c>
      <c r="D17" s="74"/>
      <c r="E17" s="69">
        <f>+'RÍGIDO-Anexo 2 (A)'!AS35</f>
        <v>112</v>
      </c>
      <c r="F17" s="69">
        <f t="shared" si="3"/>
        <v>56</v>
      </c>
      <c r="G17" s="69">
        <f t="shared" si="2"/>
        <v>10.5</v>
      </c>
      <c r="H17" s="74" t="s">
        <v>138</v>
      </c>
    </row>
    <row r="18" spans="1:10" ht="27.95" customHeight="1" x14ac:dyDescent="0.25">
      <c r="A18" s="207"/>
      <c r="B18" s="87" t="s">
        <v>173</v>
      </c>
      <c r="C18" s="74" t="s">
        <v>220</v>
      </c>
      <c r="D18" s="74"/>
      <c r="E18" s="69">
        <f>+'RÍGIDO-Anexo 2 (A)'!C41</f>
        <v>112</v>
      </c>
      <c r="F18" s="69">
        <f t="shared" si="3"/>
        <v>56</v>
      </c>
      <c r="G18" s="69">
        <f t="shared" si="2"/>
        <v>10.5</v>
      </c>
      <c r="H18" s="74" t="s">
        <v>145</v>
      </c>
    </row>
    <row r="19" spans="1:10" ht="35.450000000000003" customHeight="1" x14ac:dyDescent="0.25">
      <c r="A19" s="207"/>
      <c r="B19" s="87" t="s">
        <v>161</v>
      </c>
      <c r="C19" s="74" t="s">
        <v>223</v>
      </c>
      <c r="D19" s="87"/>
      <c r="E19" s="69">
        <f>+'RÍGIDO-Anexo 2 (A)'!U41</f>
        <v>112</v>
      </c>
      <c r="F19" s="69">
        <f t="shared" si="3"/>
        <v>56</v>
      </c>
      <c r="G19" s="69">
        <f t="shared" si="2"/>
        <v>10.5</v>
      </c>
      <c r="H19" s="69" t="s">
        <v>138</v>
      </c>
    </row>
    <row r="20" spans="1:10" ht="35.450000000000003" customHeight="1" x14ac:dyDescent="0.25">
      <c r="A20" s="75"/>
      <c r="B20" s="87" t="s">
        <v>125</v>
      </c>
      <c r="C20" s="74" t="s">
        <v>224</v>
      </c>
      <c r="D20" s="74"/>
      <c r="E20" s="69">
        <f>+'RÍGIDO-Anexo 2 (A)'!AA41</f>
        <v>96</v>
      </c>
      <c r="F20" s="69">
        <f t="shared" si="3"/>
        <v>48</v>
      </c>
      <c r="G20" s="69">
        <f t="shared" si="2"/>
        <v>9</v>
      </c>
      <c r="H20" s="74" t="s">
        <v>138</v>
      </c>
    </row>
    <row r="21" spans="1:10" ht="35.450000000000003" customHeight="1" x14ac:dyDescent="0.25">
      <c r="A21" s="75"/>
      <c r="B21" s="74" t="s">
        <v>136</v>
      </c>
      <c r="C21" s="74" t="s">
        <v>250</v>
      </c>
      <c r="D21" s="74"/>
      <c r="E21" s="69">
        <f>+'RÍGIDO-Anexo 2 (A)'!AS41</f>
        <v>96</v>
      </c>
      <c r="F21" s="69">
        <f t="shared" si="3"/>
        <v>48</v>
      </c>
      <c r="G21" s="69">
        <f t="shared" si="2"/>
        <v>9</v>
      </c>
      <c r="H21" s="74" t="s">
        <v>138</v>
      </c>
      <c r="I21" s="110"/>
    </row>
    <row r="22" spans="1:10" ht="35.450000000000003" customHeight="1" x14ac:dyDescent="0.25">
      <c r="A22" s="75"/>
      <c r="B22" s="87" t="s">
        <v>163</v>
      </c>
      <c r="C22" s="74" t="s">
        <v>229</v>
      </c>
      <c r="D22" s="74" t="s">
        <v>223</v>
      </c>
      <c r="E22" s="69">
        <f>+'RÍGIDO-Anexo 2 (A)'!O47</f>
        <v>128</v>
      </c>
      <c r="F22" s="69">
        <f t="shared" si="3"/>
        <v>64</v>
      </c>
      <c r="G22" s="69">
        <f t="shared" si="2"/>
        <v>12</v>
      </c>
      <c r="H22" s="74" t="s">
        <v>138</v>
      </c>
    </row>
    <row r="23" spans="1:10" ht="35.450000000000003" customHeight="1" x14ac:dyDescent="0.25">
      <c r="A23" s="75"/>
      <c r="B23" s="87" t="s">
        <v>133</v>
      </c>
      <c r="C23" s="74" t="s">
        <v>237</v>
      </c>
      <c r="D23" s="87"/>
      <c r="E23" s="69">
        <f>+'RÍGIDO-Anexo 2 (A)'!O53</f>
        <v>128</v>
      </c>
      <c r="F23" s="69">
        <f t="shared" si="3"/>
        <v>64</v>
      </c>
      <c r="G23" s="69">
        <f t="shared" si="2"/>
        <v>12</v>
      </c>
      <c r="H23" s="74" t="s">
        <v>142</v>
      </c>
    </row>
    <row r="24" spans="1:10" ht="35.450000000000003" customHeight="1" x14ac:dyDescent="0.25">
      <c r="A24" s="75"/>
      <c r="B24" s="87" t="s">
        <v>165</v>
      </c>
      <c r="C24" s="74" t="s">
        <v>238</v>
      </c>
      <c r="D24" s="87"/>
      <c r="E24" s="69">
        <f>+'RÍGIDO-Anexo 2 (A)'!U53</f>
        <v>96</v>
      </c>
      <c r="F24" s="69">
        <f t="shared" si="3"/>
        <v>48</v>
      </c>
      <c r="G24" s="69">
        <f>(E24+F24)*0.0625</f>
        <v>9</v>
      </c>
      <c r="H24" s="74" t="s">
        <v>145</v>
      </c>
    </row>
    <row r="25" spans="1:10" ht="35.450000000000003" customHeight="1" x14ac:dyDescent="0.25">
      <c r="A25" s="75"/>
      <c r="B25" s="74" t="s">
        <v>134</v>
      </c>
      <c r="C25" s="74" t="s">
        <v>239</v>
      </c>
      <c r="D25" s="87"/>
      <c r="E25" s="69">
        <f>+'RÍGIDO-Anexo 2 (A)'!AA53</f>
        <v>128</v>
      </c>
      <c r="F25" s="69">
        <f t="shared" si="3"/>
        <v>64</v>
      </c>
      <c r="G25" s="69">
        <f t="shared" ref="G25:G26" si="4">(E25+F25)*0.0625</f>
        <v>12</v>
      </c>
      <c r="H25" s="74" t="s">
        <v>145</v>
      </c>
      <c r="I25" s="223"/>
      <c r="J25" s="111"/>
    </row>
    <row r="26" spans="1:10" ht="35.450000000000003" customHeight="1" x14ac:dyDescent="0.25">
      <c r="A26" s="75"/>
      <c r="B26" s="74" t="s">
        <v>263</v>
      </c>
      <c r="C26" s="74" t="s">
        <v>241</v>
      </c>
      <c r="D26" s="87"/>
      <c r="E26" s="69">
        <f>+'RÍGIDO-Anexo 2 (A)'!AM53</f>
        <v>128</v>
      </c>
      <c r="F26" s="69">
        <f t="shared" si="3"/>
        <v>64</v>
      </c>
      <c r="G26" s="69">
        <f t="shared" si="4"/>
        <v>12</v>
      </c>
      <c r="H26" s="74" t="s">
        <v>138</v>
      </c>
      <c r="I26" s="223"/>
      <c r="J26" s="111"/>
    </row>
    <row r="27" spans="1:10" ht="27.95" customHeight="1" x14ac:dyDescent="0.25">
      <c r="A27" s="212" t="s">
        <v>178</v>
      </c>
      <c r="B27" s="87" t="s">
        <v>101</v>
      </c>
      <c r="C27" s="74" t="s">
        <v>169</v>
      </c>
      <c r="D27" s="69"/>
      <c r="E27" s="69">
        <f>+'RÍGIDO-Anexo 2 (A)'!O11</f>
        <v>128</v>
      </c>
      <c r="F27" s="69">
        <f t="shared" si="3"/>
        <v>64</v>
      </c>
      <c r="G27" s="69">
        <f t="shared" si="2"/>
        <v>12</v>
      </c>
      <c r="H27" s="74" t="s">
        <v>138</v>
      </c>
    </row>
    <row r="28" spans="1:10" ht="42" customHeight="1" x14ac:dyDescent="0.25">
      <c r="A28" s="213"/>
      <c r="B28" s="87" t="s">
        <v>102</v>
      </c>
      <c r="C28" s="74" t="s">
        <v>170</v>
      </c>
      <c r="D28" s="74"/>
      <c r="E28" s="69">
        <f>+'RÍGIDO-Anexo 2 (A)'!U11</f>
        <v>128</v>
      </c>
      <c r="F28" s="69">
        <f t="shared" si="3"/>
        <v>64</v>
      </c>
      <c r="G28" s="69">
        <f t="shared" si="2"/>
        <v>12</v>
      </c>
      <c r="H28" s="69" t="s">
        <v>138</v>
      </c>
    </row>
    <row r="29" spans="1:10" ht="27.95" customHeight="1" x14ac:dyDescent="0.25">
      <c r="A29" s="213"/>
      <c r="B29" s="87" t="s">
        <v>184</v>
      </c>
      <c r="C29" s="74" t="s">
        <v>195</v>
      </c>
      <c r="D29" s="87"/>
      <c r="E29" s="69">
        <f>+'RÍGIDO-Anexo 2 (A)'!AA17</f>
        <v>128</v>
      </c>
      <c r="F29" s="69">
        <f t="shared" si="3"/>
        <v>64</v>
      </c>
      <c r="G29" s="69">
        <f t="shared" si="2"/>
        <v>12</v>
      </c>
      <c r="H29" s="69" t="s">
        <v>138</v>
      </c>
    </row>
    <row r="30" spans="1:10" ht="27.95" customHeight="1" x14ac:dyDescent="0.25">
      <c r="A30" s="213"/>
      <c r="B30" s="87" t="s">
        <v>185</v>
      </c>
      <c r="C30" s="74" t="s">
        <v>199</v>
      </c>
      <c r="D30" s="87"/>
      <c r="E30" s="69">
        <f>+'RÍGIDO-Anexo 2 (A)'!O23</f>
        <v>112</v>
      </c>
      <c r="F30" s="69">
        <f t="shared" si="3"/>
        <v>56</v>
      </c>
      <c r="G30" s="69">
        <f t="shared" si="2"/>
        <v>10.5</v>
      </c>
      <c r="H30" s="74" t="s">
        <v>138</v>
      </c>
    </row>
    <row r="31" spans="1:10" ht="27.95" customHeight="1" x14ac:dyDescent="0.25">
      <c r="A31" s="214"/>
      <c r="B31" s="87" t="s">
        <v>114</v>
      </c>
      <c r="C31" s="74" t="s">
        <v>203</v>
      </c>
      <c r="D31" s="87"/>
      <c r="E31" s="69">
        <f>+'RÍGIDO-Anexo 2 (A)'!AM23</f>
        <v>112</v>
      </c>
      <c r="F31" s="69">
        <f t="shared" si="3"/>
        <v>56</v>
      </c>
      <c r="G31" s="69">
        <f t="shared" si="2"/>
        <v>10.5</v>
      </c>
      <c r="H31" s="69" t="s">
        <v>138</v>
      </c>
      <c r="I31" s="6"/>
    </row>
    <row r="32" spans="1:10" ht="27.95" customHeight="1" x14ac:dyDescent="0.25">
      <c r="A32" s="214"/>
      <c r="B32" s="112" t="s">
        <v>118</v>
      </c>
      <c r="C32" s="74" t="s">
        <v>209</v>
      </c>
      <c r="D32" s="87"/>
      <c r="E32" s="69">
        <f>+'RÍGIDO-Anexo 2 (A)'!AA29</f>
        <v>128</v>
      </c>
      <c r="F32" s="69">
        <f t="shared" si="3"/>
        <v>64</v>
      </c>
      <c r="G32" s="69">
        <f t="shared" si="2"/>
        <v>12</v>
      </c>
      <c r="H32" s="74" t="s">
        <v>138</v>
      </c>
      <c r="I32" s="6"/>
    </row>
    <row r="33" spans="1:8" ht="27.95" customHeight="1" x14ac:dyDescent="0.25">
      <c r="A33" s="215"/>
      <c r="B33" s="87" t="s">
        <v>159</v>
      </c>
      <c r="C33" s="74" t="s">
        <v>210</v>
      </c>
      <c r="D33" s="74"/>
      <c r="E33" s="69">
        <f>+'RÍGIDO-Anexo 2 (A)'!AG29</f>
        <v>128</v>
      </c>
      <c r="F33" s="69">
        <f t="shared" si="3"/>
        <v>64</v>
      </c>
      <c r="G33" s="69">
        <f t="shared" si="2"/>
        <v>12</v>
      </c>
      <c r="H33" s="69" t="s">
        <v>138</v>
      </c>
    </row>
    <row r="34" spans="1:8" ht="27.95" customHeight="1" x14ac:dyDescent="0.25">
      <c r="A34" s="216"/>
      <c r="B34" s="74" t="s">
        <v>251</v>
      </c>
      <c r="C34" s="74" t="s">
        <v>218</v>
      </c>
      <c r="D34" s="74"/>
      <c r="E34" s="69">
        <f>+'RÍGIDO-Anexo 2 (A)'!AM35</f>
        <v>96</v>
      </c>
      <c r="F34" s="69">
        <f t="shared" si="3"/>
        <v>48</v>
      </c>
      <c r="G34" s="69">
        <f t="shared" si="2"/>
        <v>9</v>
      </c>
      <c r="H34" s="74" t="s">
        <v>138</v>
      </c>
    </row>
    <row r="35" spans="1:8" ht="27.95" customHeight="1" x14ac:dyDescent="0.25">
      <c r="A35" s="216"/>
      <c r="B35" s="87" t="s">
        <v>129</v>
      </c>
      <c r="C35" s="74" t="s">
        <v>226</v>
      </c>
      <c r="D35" s="87"/>
      <c r="E35" s="69">
        <f>+'RÍGIDO-Anexo 2 (A)'!AM41</f>
        <v>112</v>
      </c>
      <c r="F35" s="69">
        <f t="shared" si="3"/>
        <v>56</v>
      </c>
      <c r="G35" s="69">
        <f t="shared" si="2"/>
        <v>10.5</v>
      </c>
      <c r="H35" s="74" t="s">
        <v>138</v>
      </c>
    </row>
    <row r="36" spans="1:8" ht="27.95" customHeight="1" x14ac:dyDescent="0.25">
      <c r="A36" s="217"/>
      <c r="B36" s="87" t="s">
        <v>176</v>
      </c>
      <c r="C36" s="74" t="s">
        <v>231</v>
      </c>
      <c r="D36" s="74"/>
      <c r="E36" s="69">
        <f>+'RÍGIDO-Anexo 2 (A)'!AA47</f>
        <v>80</v>
      </c>
      <c r="F36" s="69">
        <f t="shared" si="3"/>
        <v>40</v>
      </c>
      <c r="G36" s="69">
        <f t="shared" si="2"/>
        <v>7.5</v>
      </c>
      <c r="H36" s="74" t="s">
        <v>145</v>
      </c>
    </row>
    <row r="37" spans="1:8" ht="27.95" customHeight="1" x14ac:dyDescent="0.25">
      <c r="A37" s="213"/>
      <c r="B37" s="87" t="s">
        <v>130</v>
      </c>
      <c r="C37" s="74" t="s">
        <v>232</v>
      </c>
      <c r="D37" s="87"/>
      <c r="E37" s="69">
        <f>+'RÍGIDO-Anexo 2 (A)'!AG47</f>
        <v>96</v>
      </c>
      <c r="F37" s="69">
        <f t="shared" si="3"/>
        <v>48</v>
      </c>
      <c r="G37" s="69">
        <f t="shared" si="2"/>
        <v>9</v>
      </c>
      <c r="H37" s="74" t="s">
        <v>142</v>
      </c>
    </row>
    <row r="38" spans="1:8" ht="27.95" customHeight="1" x14ac:dyDescent="0.25">
      <c r="A38" s="213"/>
      <c r="B38" s="87" t="s">
        <v>139</v>
      </c>
      <c r="C38" s="74" t="s">
        <v>234</v>
      </c>
      <c r="D38" s="74"/>
      <c r="E38" s="69">
        <f>+'RÍGIDO-Anexo 2 (A)'!AS47</f>
        <v>96</v>
      </c>
      <c r="F38" s="69">
        <f t="shared" si="3"/>
        <v>48</v>
      </c>
      <c r="G38" s="69">
        <f t="shared" si="2"/>
        <v>9</v>
      </c>
      <c r="H38" s="74" t="s">
        <v>138</v>
      </c>
    </row>
    <row r="39" spans="1:8" ht="0.6" customHeight="1" x14ac:dyDescent="0.25">
      <c r="A39" s="213"/>
      <c r="B39" s="69" t="s">
        <v>133</v>
      </c>
      <c r="C39" s="74" t="s">
        <v>153</v>
      </c>
      <c r="D39" s="74"/>
      <c r="E39" s="69"/>
      <c r="F39" s="69">
        <f t="shared" si="3"/>
        <v>0</v>
      </c>
      <c r="G39" s="69">
        <f t="shared" si="2"/>
        <v>0</v>
      </c>
      <c r="H39" s="69" t="s">
        <v>146</v>
      </c>
    </row>
    <row r="40" spans="1:8" ht="41.1" hidden="1" customHeight="1" x14ac:dyDescent="0.25">
      <c r="A40" s="213"/>
      <c r="B40" s="69" t="s">
        <v>135</v>
      </c>
      <c r="C40" s="74" t="s">
        <v>154</v>
      </c>
      <c r="D40" s="74"/>
      <c r="E40" s="69">
        <v>80</v>
      </c>
      <c r="F40" s="69">
        <f t="shared" si="3"/>
        <v>40</v>
      </c>
      <c r="G40" s="69">
        <f t="shared" si="2"/>
        <v>7.5</v>
      </c>
      <c r="H40" s="69" t="s">
        <v>142</v>
      </c>
    </row>
    <row r="41" spans="1:8" ht="27.95" hidden="1" customHeight="1" x14ac:dyDescent="0.25">
      <c r="A41" s="213"/>
      <c r="B41" s="69" t="s">
        <v>136</v>
      </c>
      <c r="C41" s="69" t="s">
        <v>137</v>
      </c>
      <c r="D41" s="74"/>
      <c r="E41" s="69">
        <v>48</v>
      </c>
      <c r="F41" s="69">
        <f t="shared" si="3"/>
        <v>24</v>
      </c>
      <c r="G41" s="69">
        <f t="shared" si="2"/>
        <v>4.5</v>
      </c>
      <c r="H41" s="69" t="s">
        <v>138</v>
      </c>
    </row>
    <row r="42" spans="1:8" ht="27.95" hidden="1" customHeight="1" x14ac:dyDescent="0.25">
      <c r="A42" s="213"/>
      <c r="B42" s="69" t="s">
        <v>140</v>
      </c>
      <c r="C42" s="69" t="s">
        <v>141</v>
      </c>
      <c r="D42" s="74"/>
      <c r="E42" s="69">
        <v>64</v>
      </c>
      <c r="F42" s="69">
        <f t="shared" si="3"/>
        <v>32</v>
      </c>
      <c r="G42" s="69">
        <f t="shared" si="2"/>
        <v>6</v>
      </c>
      <c r="H42" s="69" t="s">
        <v>142</v>
      </c>
    </row>
    <row r="43" spans="1:8" ht="39" customHeight="1" x14ac:dyDescent="0.25">
      <c r="A43" s="218" t="s">
        <v>179</v>
      </c>
      <c r="B43" s="74" t="s">
        <v>252</v>
      </c>
      <c r="C43" s="74" t="s">
        <v>168</v>
      </c>
      <c r="D43" s="74"/>
      <c r="E43" s="69">
        <f>+'RÍGIDO-Anexo 2 (A)'!C11</f>
        <v>128</v>
      </c>
      <c r="F43" s="69">
        <f t="shared" si="3"/>
        <v>64</v>
      </c>
      <c r="G43" s="69">
        <f t="shared" si="2"/>
        <v>12</v>
      </c>
      <c r="H43" s="69" t="s">
        <v>145</v>
      </c>
    </row>
    <row r="44" spans="1:8" ht="41.1" customHeight="1" x14ac:dyDescent="0.25">
      <c r="A44" s="219"/>
      <c r="B44" s="74" t="s">
        <v>253</v>
      </c>
      <c r="C44" s="74" t="s">
        <v>191</v>
      </c>
      <c r="D44" s="74" t="s">
        <v>168</v>
      </c>
      <c r="E44" s="69">
        <v>128</v>
      </c>
      <c r="F44" s="69">
        <f t="shared" si="3"/>
        <v>64</v>
      </c>
      <c r="G44" s="69">
        <f t="shared" si="2"/>
        <v>12</v>
      </c>
      <c r="H44" s="69" t="s">
        <v>145</v>
      </c>
    </row>
    <row r="45" spans="1:8" ht="38.450000000000003" customHeight="1" x14ac:dyDescent="0.25">
      <c r="A45" s="219"/>
      <c r="B45" s="87" t="s">
        <v>109</v>
      </c>
      <c r="C45" s="74" t="s">
        <v>194</v>
      </c>
      <c r="D45" s="74"/>
      <c r="E45" s="69">
        <f>+'RÍGIDO-Anexo 2 (A)'!U17</f>
        <v>128</v>
      </c>
      <c r="F45" s="69">
        <f t="shared" si="3"/>
        <v>64</v>
      </c>
      <c r="G45" s="69">
        <f t="shared" si="2"/>
        <v>12</v>
      </c>
      <c r="H45" s="69" t="s">
        <v>145</v>
      </c>
    </row>
    <row r="46" spans="1:8" ht="36.950000000000003" customHeight="1" x14ac:dyDescent="0.25">
      <c r="A46" s="219"/>
      <c r="B46" s="74" t="s">
        <v>254</v>
      </c>
      <c r="C46" s="74" t="s">
        <v>197</v>
      </c>
      <c r="D46" s="74" t="s">
        <v>191</v>
      </c>
      <c r="E46" s="69">
        <f>+'RÍGIDO-Anexo 2 (A)'!C23</f>
        <v>80</v>
      </c>
      <c r="F46" s="69">
        <f t="shared" si="3"/>
        <v>40</v>
      </c>
      <c r="G46" s="69">
        <f t="shared" si="2"/>
        <v>7.5</v>
      </c>
      <c r="H46" s="69" t="s">
        <v>145</v>
      </c>
    </row>
    <row r="47" spans="1:8" ht="27.95" customHeight="1" x14ac:dyDescent="0.25">
      <c r="A47" s="219"/>
      <c r="B47" s="87" t="s">
        <v>186</v>
      </c>
      <c r="C47" s="74" t="s">
        <v>198</v>
      </c>
      <c r="D47" s="74"/>
      <c r="E47" s="69">
        <f>+'RÍGIDO-Anexo 2 (A)'!I23</f>
        <v>80</v>
      </c>
      <c r="F47" s="69">
        <f t="shared" si="3"/>
        <v>40</v>
      </c>
      <c r="G47" s="69">
        <f t="shared" si="2"/>
        <v>7.5</v>
      </c>
      <c r="H47" s="69" t="s">
        <v>145</v>
      </c>
    </row>
    <row r="48" spans="1:8" ht="27.95" customHeight="1" x14ac:dyDescent="0.25">
      <c r="A48" s="219"/>
      <c r="B48" s="87" t="s">
        <v>113</v>
      </c>
      <c r="C48" s="74" t="s">
        <v>202</v>
      </c>
      <c r="D48" s="74"/>
      <c r="E48" s="69">
        <f>+'RÍGIDO-Anexo 2 (A)'!AG23</f>
        <v>80</v>
      </c>
      <c r="F48" s="69">
        <f t="shared" si="3"/>
        <v>40</v>
      </c>
      <c r="G48" s="69">
        <f t="shared" si="2"/>
        <v>7.5</v>
      </c>
      <c r="H48" s="69" t="s">
        <v>147</v>
      </c>
    </row>
    <row r="49" spans="1:8" ht="39.6" customHeight="1" x14ac:dyDescent="0.25">
      <c r="A49" s="219"/>
      <c r="B49" s="74" t="s">
        <v>245</v>
      </c>
      <c r="C49" s="74" t="s">
        <v>205</v>
      </c>
      <c r="D49" s="87" t="s">
        <v>197</v>
      </c>
      <c r="E49" s="69">
        <f>+'RÍGIDO-Anexo 2 (A)'!C29</f>
        <v>96</v>
      </c>
      <c r="F49" s="69">
        <f t="shared" si="3"/>
        <v>48</v>
      </c>
      <c r="G49" s="69">
        <f t="shared" si="2"/>
        <v>9</v>
      </c>
      <c r="H49" s="69" t="s">
        <v>145</v>
      </c>
    </row>
    <row r="50" spans="1:8" ht="27.95" customHeight="1" x14ac:dyDescent="0.25">
      <c r="A50" s="219"/>
      <c r="B50" s="87" t="s">
        <v>158</v>
      </c>
      <c r="C50" s="74" t="s">
        <v>206</v>
      </c>
      <c r="D50" s="74"/>
      <c r="E50" s="69">
        <f>+'RÍGIDO-Anexo 2 (A)'!I29</f>
        <v>96</v>
      </c>
      <c r="F50" s="69">
        <f t="shared" si="3"/>
        <v>48</v>
      </c>
      <c r="G50" s="69">
        <f t="shared" si="2"/>
        <v>9</v>
      </c>
      <c r="H50" s="69" t="s">
        <v>147</v>
      </c>
    </row>
    <row r="51" spans="1:8" ht="38.25" x14ac:dyDescent="0.25">
      <c r="A51" s="219"/>
      <c r="B51" s="74" t="s">
        <v>246</v>
      </c>
      <c r="C51" s="74" t="s">
        <v>212</v>
      </c>
      <c r="D51" s="74" t="s">
        <v>205</v>
      </c>
      <c r="E51" s="69">
        <f>+'RÍGIDO-Anexo 2 (A)'!C35</f>
        <v>80</v>
      </c>
      <c r="F51" s="69">
        <f t="shared" si="3"/>
        <v>40</v>
      </c>
      <c r="G51" s="69">
        <f t="shared" si="2"/>
        <v>7.5</v>
      </c>
      <c r="H51" s="74" t="s">
        <v>145</v>
      </c>
    </row>
    <row r="52" spans="1:8" ht="27.95" customHeight="1" x14ac:dyDescent="0.25">
      <c r="A52" s="76"/>
      <c r="B52" s="87" t="s">
        <v>187</v>
      </c>
      <c r="C52" s="74" t="s">
        <v>213</v>
      </c>
      <c r="D52" s="74"/>
      <c r="E52" s="69">
        <f>+'RÍGIDO-Anexo 2 (A)'!I35</f>
        <v>96</v>
      </c>
      <c r="F52" s="69">
        <f t="shared" si="3"/>
        <v>48</v>
      </c>
      <c r="G52" s="69">
        <f t="shared" si="2"/>
        <v>9</v>
      </c>
      <c r="H52" s="74" t="s">
        <v>145</v>
      </c>
    </row>
    <row r="53" spans="1:8" ht="27.95" customHeight="1" x14ac:dyDescent="0.25">
      <c r="A53" s="76"/>
      <c r="B53" s="87" t="s">
        <v>172</v>
      </c>
      <c r="C53" s="74" t="s">
        <v>217</v>
      </c>
      <c r="D53" s="74"/>
      <c r="E53" s="69">
        <f>+'RÍGIDO-Anexo 2 (A)'!AG35</f>
        <v>80</v>
      </c>
      <c r="F53" s="69">
        <f t="shared" si="3"/>
        <v>40</v>
      </c>
      <c r="G53" s="69">
        <f t="shared" ref="G53:G67" si="5">(E53+F53)*0.0625</f>
        <v>7.5</v>
      </c>
      <c r="H53" s="74" t="s">
        <v>145</v>
      </c>
    </row>
    <row r="54" spans="1:8" ht="27.95" customHeight="1" x14ac:dyDescent="0.25">
      <c r="A54" s="76"/>
      <c r="B54" s="87" t="s">
        <v>188</v>
      </c>
      <c r="C54" s="74" t="s">
        <v>225</v>
      </c>
      <c r="D54" s="74"/>
      <c r="E54" s="69">
        <f>+'RÍGIDO-Anexo 2 (A)'!AG41</f>
        <v>80</v>
      </c>
      <c r="F54" s="69">
        <f t="shared" si="3"/>
        <v>40</v>
      </c>
      <c r="G54" s="69">
        <f t="shared" si="5"/>
        <v>7.5</v>
      </c>
      <c r="H54" s="74" t="s">
        <v>147</v>
      </c>
    </row>
    <row r="55" spans="1:8" ht="27.95" customHeight="1" x14ac:dyDescent="0.25">
      <c r="A55" s="76"/>
      <c r="B55" s="87" t="s">
        <v>164</v>
      </c>
      <c r="C55" s="74" t="s">
        <v>230</v>
      </c>
      <c r="D55" s="74"/>
      <c r="E55" s="69">
        <f>+'RÍGIDO-Anexo 2 (A)'!U47</f>
        <v>96</v>
      </c>
      <c r="F55" s="69">
        <f t="shared" si="3"/>
        <v>48</v>
      </c>
      <c r="G55" s="69">
        <f t="shared" si="5"/>
        <v>9</v>
      </c>
      <c r="H55" s="74" t="s">
        <v>145</v>
      </c>
    </row>
    <row r="56" spans="1:8" ht="27.95" customHeight="1" x14ac:dyDescent="0.25">
      <c r="A56" s="220" t="s">
        <v>181</v>
      </c>
      <c r="B56" s="87" t="s">
        <v>189</v>
      </c>
      <c r="C56" s="74" t="s">
        <v>196</v>
      </c>
      <c r="D56" s="74"/>
      <c r="E56" s="69">
        <f>+'RÍGIDO-Anexo 2 (A)'!AG17</f>
        <v>128</v>
      </c>
      <c r="F56" s="69">
        <f t="shared" si="3"/>
        <v>64</v>
      </c>
      <c r="G56" s="69">
        <f t="shared" si="5"/>
        <v>12</v>
      </c>
      <c r="H56" s="74" t="s">
        <v>145</v>
      </c>
    </row>
    <row r="57" spans="1:8" ht="27.95" customHeight="1" x14ac:dyDescent="0.25">
      <c r="A57" s="221"/>
      <c r="B57" s="89" t="s">
        <v>157</v>
      </c>
      <c r="C57" s="74" t="s">
        <v>204</v>
      </c>
      <c r="D57" s="69"/>
      <c r="E57" s="69">
        <f>+'RÍGIDO-Anexo 2 (A)'!AS23</f>
        <v>80</v>
      </c>
      <c r="F57" s="69">
        <f t="shared" si="3"/>
        <v>40</v>
      </c>
      <c r="G57" s="69">
        <f t="shared" si="5"/>
        <v>7.5</v>
      </c>
      <c r="H57" s="69" t="s">
        <v>145</v>
      </c>
    </row>
    <row r="58" spans="1:8" ht="27.95" customHeight="1" x14ac:dyDescent="0.25">
      <c r="A58" s="221"/>
      <c r="B58" s="87" t="s">
        <v>160</v>
      </c>
      <c r="C58" s="74" t="s">
        <v>211</v>
      </c>
      <c r="D58" s="74"/>
      <c r="E58" s="69">
        <f>+'RÍGIDO-Anexo 2 (A)'!AM29</f>
        <v>128</v>
      </c>
      <c r="F58" s="69">
        <f t="shared" si="3"/>
        <v>64</v>
      </c>
      <c r="G58" s="69">
        <f t="shared" si="5"/>
        <v>12</v>
      </c>
      <c r="H58" s="74" t="s">
        <v>142</v>
      </c>
    </row>
    <row r="59" spans="1:8" ht="27.95" customHeight="1" x14ac:dyDescent="0.25">
      <c r="A59" s="221"/>
      <c r="B59" s="74" t="s">
        <v>247</v>
      </c>
      <c r="C59" s="74" t="s">
        <v>214</v>
      </c>
      <c r="D59" s="74"/>
      <c r="E59" s="69">
        <f>+'RÍGIDO-Anexo 2 (A)'!O35</f>
        <v>96</v>
      </c>
      <c r="F59" s="69">
        <f t="shared" si="3"/>
        <v>48</v>
      </c>
      <c r="G59" s="69">
        <f t="shared" si="5"/>
        <v>9</v>
      </c>
      <c r="H59" s="74" t="s">
        <v>145</v>
      </c>
    </row>
    <row r="60" spans="1:8" ht="27.95" customHeight="1" x14ac:dyDescent="0.25">
      <c r="A60" s="221"/>
      <c r="B60" s="74" t="s">
        <v>255</v>
      </c>
      <c r="C60" s="74" t="s">
        <v>221</v>
      </c>
      <c r="D60" s="74" t="s">
        <v>214</v>
      </c>
      <c r="E60" s="69">
        <f>+'RÍGIDO-Anexo 2 (A)'!I41</f>
        <v>80</v>
      </c>
      <c r="F60" s="69">
        <f t="shared" si="3"/>
        <v>40</v>
      </c>
      <c r="G60" s="69">
        <f t="shared" si="5"/>
        <v>7.5</v>
      </c>
      <c r="H60" s="74" t="s">
        <v>145</v>
      </c>
    </row>
    <row r="61" spans="1:8" ht="27.95" customHeight="1" x14ac:dyDescent="0.25">
      <c r="A61" s="221"/>
      <c r="B61" s="87" t="s">
        <v>126</v>
      </c>
      <c r="C61" s="74" t="s">
        <v>222</v>
      </c>
      <c r="D61" s="74"/>
      <c r="E61" s="69">
        <f>+'RÍGIDO-Anexo 2 (A)'!O41</f>
        <v>80</v>
      </c>
      <c r="F61" s="69">
        <f t="shared" si="3"/>
        <v>40</v>
      </c>
      <c r="G61" s="69">
        <f t="shared" si="5"/>
        <v>7.5</v>
      </c>
      <c r="H61" s="74" t="s">
        <v>145</v>
      </c>
    </row>
    <row r="62" spans="1:8" ht="27.95" customHeight="1" x14ac:dyDescent="0.25">
      <c r="A62" s="221"/>
      <c r="B62" s="74" t="s">
        <v>248</v>
      </c>
      <c r="C62" s="74" t="s">
        <v>227</v>
      </c>
      <c r="D62" s="74" t="s">
        <v>221</v>
      </c>
      <c r="E62" s="69">
        <f>+'RÍGIDO-Anexo 2 (A)'!C47</f>
        <v>80</v>
      </c>
      <c r="F62" s="69">
        <f t="shared" si="3"/>
        <v>40</v>
      </c>
      <c r="G62" s="69">
        <f t="shared" si="5"/>
        <v>7.5</v>
      </c>
      <c r="H62" s="74" t="s">
        <v>145</v>
      </c>
    </row>
    <row r="63" spans="1:8" ht="27.95" customHeight="1" x14ac:dyDescent="0.25">
      <c r="A63" s="221"/>
      <c r="B63" s="87" t="s">
        <v>162</v>
      </c>
      <c r="C63" s="74" t="s">
        <v>228</v>
      </c>
      <c r="D63" s="74"/>
      <c r="E63" s="69">
        <f>+'RÍGIDO-Anexo 2 (A)'!I47</f>
        <v>112</v>
      </c>
      <c r="F63" s="69">
        <f t="shared" si="3"/>
        <v>56</v>
      </c>
      <c r="G63" s="69">
        <f t="shared" si="5"/>
        <v>10.5</v>
      </c>
      <c r="H63" s="74" t="s">
        <v>145</v>
      </c>
    </row>
    <row r="64" spans="1:8" ht="27.95" customHeight="1" x14ac:dyDescent="0.25">
      <c r="A64" s="221"/>
      <c r="B64" s="87" t="s">
        <v>175</v>
      </c>
      <c r="C64" s="74" t="s">
        <v>233</v>
      </c>
      <c r="D64" s="74"/>
      <c r="E64" s="69">
        <f>+'RÍGIDO-Anexo 2 (A)'!AM47</f>
        <v>80</v>
      </c>
      <c r="F64" s="69">
        <f t="shared" si="3"/>
        <v>40</v>
      </c>
      <c r="G64" s="69">
        <f t="shared" si="5"/>
        <v>7.5</v>
      </c>
      <c r="H64" s="69" t="s">
        <v>145</v>
      </c>
    </row>
    <row r="65" spans="1:8" ht="27.95" customHeight="1" x14ac:dyDescent="0.25">
      <c r="A65" s="221"/>
      <c r="B65" s="74" t="s">
        <v>143</v>
      </c>
      <c r="C65" s="74" t="s">
        <v>235</v>
      </c>
      <c r="D65" s="74"/>
      <c r="E65" s="69">
        <f>+'RÍGIDO-Anexo 2 (A)'!C53</f>
        <v>96</v>
      </c>
      <c r="F65" s="69">
        <f t="shared" si="3"/>
        <v>48</v>
      </c>
      <c r="G65" s="69">
        <f t="shared" ref="G65" si="6">(E65+F65)*0.0625</f>
        <v>9</v>
      </c>
      <c r="H65" s="74" t="s">
        <v>146</v>
      </c>
    </row>
    <row r="66" spans="1:8" ht="27.95" customHeight="1" x14ac:dyDescent="0.25">
      <c r="A66" s="221"/>
      <c r="B66" s="74" t="s">
        <v>256</v>
      </c>
      <c r="C66" s="74" t="s">
        <v>236</v>
      </c>
      <c r="D66" s="74" t="s">
        <v>227</v>
      </c>
      <c r="E66" s="69">
        <f>+'RÍGIDO-Anexo 2 (A)'!I53</f>
        <v>96</v>
      </c>
      <c r="F66" s="69">
        <f t="shared" si="3"/>
        <v>48</v>
      </c>
      <c r="G66" s="69">
        <f t="shared" si="5"/>
        <v>9</v>
      </c>
      <c r="H66" s="74" t="s">
        <v>145</v>
      </c>
    </row>
    <row r="67" spans="1:8" ht="27.95" customHeight="1" x14ac:dyDescent="0.25">
      <c r="A67" s="221"/>
      <c r="B67" s="87" t="s">
        <v>190</v>
      </c>
      <c r="C67" s="74" t="s">
        <v>240</v>
      </c>
      <c r="D67" s="74"/>
      <c r="E67" s="69">
        <f>+'RÍGIDO-Anexo 2 (A)'!AG53</f>
        <v>96</v>
      </c>
      <c r="F67" s="69">
        <f t="shared" si="3"/>
        <v>48</v>
      </c>
      <c r="G67" s="69">
        <f t="shared" si="5"/>
        <v>9</v>
      </c>
      <c r="H67" s="74" t="s">
        <v>147</v>
      </c>
    </row>
    <row r="70" spans="1:8" ht="30" customHeight="1" x14ac:dyDescent="0.25">
      <c r="B70" s="222" t="s">
        <v>148</v>
      </c>
      <c r="C70" s="222"/>
      <c r="D70" s="222"/>
      <c r="E70" s="222"/>
      <c r="F70" s="222"/>
      <c r="G70" s="222"/>
    </row>
    <row r="71" spans="1:8" ht="42" customHeight="1" x14ac:dyDescent="0.25">
      <c r="B71" s="70" t="s">
        <v>27</v>
      </c>
      <c r="C71" s="226" t="s">
        <v>149</v>
      </c>
      <c r="D71" s="226"/>
      <c r="E71" s="70" t="s">
        <v>150</v>
      </c>
      <c r="F71" s="70" t="s">
        <v>15</v>
      </c>
      <c r="G71" s="70" t="s">
        <v>13</v>
      </c>
    </row>
    <row r="72" spans="1:8" ht="48" customHeight="1" x14ac:dyDescent="0.25">
      <c r="B72" s="90" t="s">
        <v>177</v>
      </c>
      <c r="C72" s="227">
        <f>COUNTA(C7:C26)</f>
        <v>20</v>
      </c>
      <c r="D72" s="227"/>
      <c r="E72" s="6">
        <f>SUM(E7:E26)</f>
        <v>2272</v>
      </c>
      <c r="F72" s="6">
        <f>SUM(F7:F26)</f>
        <v>1136</v>
      </c>
      <c r="G72" s="6">
        <f>SUM(G7:G26)</f>
        <v>213</v>
      </c>
    </row>
    <row r="73" spans="1:8" ht="47.45" customHeight="1" x14ac:dyDescent="0.25">
      <c r="B73" s="92" t="s">
        <v>178</v>
      </c>
      <c r="C73" s="227">
        <f>COUNTA(C27:C38)</f>
        <v>12</v>
      </c>
      <c r="D73" s="227"/>
      <c r="E73" s="6">
        <f>SUM(E27:E38)</f>
        <v>1344</v>
      </c>
      <c r="F73" s="6">
        <f>SUM(F27:F42)</f>
        <v>768</v>
      </c>
      <c r="G73" s="6">
        <f>SUM(G27:G42)</f>
        <v>144</v>
      </c>
    </row>
    <row r="74" spans="1:8" ht="48" customHeight="1" x14ac:dyDescent="0.25">
      <c r="B74" s="67" t="s">
        <v>179</v>
      </c>
      <c r="C74" s="227">
        <f>COUNTA(C43:C55)</f>
        <v>13</v>
      </c>
      <c r="D74" s="227"/>
      <c r="E74" s="6">
        <f>SUM(E40:E55)</f>
        <v>1440</v>
      </c>
      <c r="F74" s="6">
        <f>SUM(F43:F55)</f>
        <v>624</v>
      </c>
      <c r="G74" s="6">
        <f>SUM(G43:G55)</f>
        <v>117</v>
      </c>
    </row>
    <row r="75" spans="1:8" ht="41.1" customHeight="1" x14ac:dyDescent="0.25">
      <c r="B75" s="91" t="s">
        <v>181</v>
      </c>
      <c r="C75" s="227">
        <f>COUNTA(C56:C67)</f>
        <v>12</v>
      </c>
      <c r="D75" s="227"/>
      <c r="E75" s="6">
        <f>SUM(E56:E67)</f>
        <v>1152</v>
      </c>
      <c r="F75" s="6">
        <f>SUM(F56:F67)</f>
        <v>576</v>
      </c>
      <c r="G75" s="6">
        <f>SUM(G56:G67)</f>
        <v>108</v>
      </c>
    </row>
    <row r="77" spans="1:8" ht="26.25" customHeight="1" x14ac:dyDescent="0.25">
      <c r="B77" s="68" t="s">
        <v>26</v>
      </c>
      <c r="C77" s="224">
        <f>SUM(C72:C75)</f>
        <v>57</v>
      </c>
      <c r="D77" s="224"/>
      <c r="E77" s="68">
        <f>SUM(E72:E75)</f>
        <v>6208</v>
      </c>
      <c r="F77" s="68">
        <f>SUM(F72:F75)</f>
        <v>3104</v>
      </c>
      <c r="G77" s="68">
        <f>SUM(G72:G75)</f>
        <v>582</v>
      </c>
    </row>
    <row r="80" spans="1:8" ht="30" customHeight="1" x14ac:dyDescent="0.25">
      <c r="B80" s="222" t="s">
        <v>151</v>
      </c>
      <c r="C80" s="222"/>
      <c r="D80" s="222"/>
      <c r="E80" s="222"/>
      <c r="F80" s="222"/>
      <c r="G80" s="222"/>
    </row>
    <row r="81" spans="2:7" ht="24" customHeight="1" x14ac:dyDescent="0.25">
      <c r="B81" s="225" t="s">
        <v>152</v>
      </c>
      <c r="C81" s="225"/>
      <c r="D81" s="225"/>
      <c r="E81" s="225"/>
      <c r="F81" s="225"/>
      <c r="G81" s="225"/>
    </row>
    <row r="82" spans="2:7" ht="24" customHeight="1" x14ac:dyDescent="0.25">
      <c r="B82" s="225"/>
      <c r="C82" s="225"/>
      <c r="D82" s="225"/>
      <c r="E82" s="225"/>
      <c r="F82" s="225"/>
      <c r="G82" s="225"/>
    </row>
    <row r="83" spans="2:7" ht="24" customHeight="1" x14ac:dyDescent="0.25">
      <c r="B83" s="225"/>
      <c r="C83" s="225"/>
      <c r="D83" s="225"/>
      <c r="E83" s="225"/>
      <c r="F83" s="225"/>
      <c r="G83" s="225"/>
    </row>
    <row r="84" spans="2:7" ht="24" customHeight="1" x14ac:dyDescent="0.25">
      <c r="B84" s="225"/>
      <c r="C84" s="225"/>
      <c r="D84" s="225"/>
      <c r="E84" s="225"/>
      <c r="F84" s="225"/>
      <c r="G84" s="225"/>
    </row>
    <row r="85" spans="2:7" ht="24" customHeight="1" x14ac:dyDescent="0.25">
      <c r="B85" s="225"/>
      <c r="C85" s="225"/>
      <c r="D85" s="225"/>
      <c r="E85" s="225"/>
      <c r="F85" s="225"/>
      <c r="G85" s="225"/>
    </row>
  </sheetData>
  <mergeCells count="23">
    <mergeCell ref="I25:I26"/>
    <mergeCell ref="C77:D77"/>
    <mergeCell ref="B80:G80"/>
    <mergeCell ref="B81:G85"/>
    <mergeCell ref="C71:D71"/>
    <mergeCell ref="C72:D72"/>
    <mergeCell ref="C73:D73"/>
    <mergeCell ref="C74:D74"/>
    <mergeCell ref="C75:D75"/>
    <mergeCell ref="A7:A19"/>
    <mergeCell ref="A27:A42"/>
    <mergeCell ref="A43:A51"/>
    <mergeCell ref="A56:A67"/>
    <mergeCell ref="B70:G70"/>
    <mergeCell ref="C2:E2"/>
    <mergeCell ref="H5:H6"/>
    <mergeCell ref="A5:A6"/>
    <mergeCell ref="B5:B6"/>
    <mergeCell ref="C5:C6"/>
    <mergeCell ref="D5:D6"/>
    <mergeCell ref="E5:F5"/>
    <mergeCell ref="G5:G6"/>
    <mergeCell ref="B4:G4"/>
  </mergeCells>
  <pageMargins left="0.7" right="0.7" top="0.75" bottom="0.75" header="0.3" footer="0.3"/>
  <ignoredErrors>
    <ignoredError sqref="E73:E75 F72:F7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workbookViewId="0"/>
  </sheetViews>
  <sheetFormatPr baseColWidth="10" defaultRowHeight="15" x14ac:dyDescent="0.25"/>
  <cols>
    <col min="2" max="2" width="17.140625" customWidth="1"/>
    <col min="4" max="4" width="11.42578125" customWidth="1"/>
  </cols>
  <sheetData>
    <row r="1" spans="1:10" ht="15.75" x14ac:dyDescent="0.25">
      <c r="H1" s="9" t="s">
        <v>0</v>
      </c>
    </row>
    <row r="2" spans="1:10" ht="25.5" customHeight="1" x14ac:dyDescent="0.25">
      <c r="B2" s="7"/>
      <c r="C2" s="249" t="s">
        <v>1</v>
      </c>
      <c r="D2" s="249"/>
      <c r="E2" s="249"/>
      <c r="F2" s="7"/>
      <c r="G2" s="7"/>
      <c r="H2" s="9"/>
    </row>
    <row r="3" spans="1:10" ht="15.75" x14ac:dyDescent="0.25">
      <c r="A3" s="52" t="s">
        <v>28</v>
      </c>
      <c r="B3" s="53"/>
      <c r="C3" s="53"/>
      <c r="D3" s="53"/>
      <c r="E3" s="53"/>
      <c r="F3" s="53"/>
      <c r="G3" s="53"/>
      <c r="H3" s="53"/>
    </row>
    <row r="4" spans="1:10" ht="53.25" customHeight="1" x14ac:dyDescent="0.25">
      <c r="A4" s="250" t="s">
        <v>29</v>
      </c>
      <c r="B4" s="250"/>
      <c r="C4" s="250"/>
      <c r="D4" s="250"/>
      <c r="E4" s="250"/>
      <c r="F4" s="250"/>
      <c r="G4" s="250"/>
      <c r="H4" s="250"/>
      <c r="J4" s="1"/>
    </row>
    <row r="5" spans="1:10" ht="30" customHeight="1" x14ac:dyDescent="0.25">
      <c r="A5" s="245" t="s">
        <v>30</v>
      </c>
      <c r="B5" s="245"/>
      <c r="C5" s="264" t="s">
        <v>31</v>
      </c>
      <c r="D5" s="264"/>
      <c r="E5" s="267" t="s">
        <v>32</v>
      </c>
      <c r="F5" s="267"/>
      <c r="G5" s="267"/>
      <c r="H5" s="267"/>
      <c r="J5" s="1"/>
    </row>
    <row r="6" spans="1:10" ht="57.75" customHeight="1" x14ac:dyDescent="0.25">
      <c r="A6" s="259"/>
      <c r="B6" s="259"/>
      <c r="C6" s="265"/>
      <c r="D6" s="265"/>
      <c r="E6" s="260" t="s">
        <v>33</v>
      </c>
      <c r="F6" s="260"/>
      <c r="G6" s="260"/>
      <c r="H6" s="260"/>
      <c r="J6" s="1"/>
    </row>
    <row r="7" spans="1:10" ht="75" customHeight="1" x14ac:dyDescent="0.25">
      <c r="A7" s="233" t="s">
        <v>34</v>
      </c>
      <c r="B7" s="233"/>
      <c r="C7" s="231" t="s">
        <v>35</v>
      </c>
      <c r="D7" s="231"/>
      <c r="E7" s="234" t="s">
        <v>36</v>
      </c>
      <c r="F7" s="234"/>
      <c r="G7" s="234"/>
      <c r="H7" s="234"/>
      <c r="J7" s="1"/>
    </row>
    <row r="8" spans="1:10" x14ac:dyDescent="0.25">
      <c r="B8" s="14"/>
      <c r="C8" s="14"/>
      <c r="D8" s="14"/>
      <c r="E8" s="14"/>
      <c r="F8" s="14"/>
      <c r="G8" s="14"/>
      <c r="H8" s="14"/>
      <c r="J8" s="1"/>
    </row>
    <row r="9" spans="1:10" x14ac:dyDescent="0.25">
      <c r="A9" s="12"/>
      <c r="B9" s="12"/>
      <c r="C9" s="12"/>
      <c r="D9" s="12"/>
      <c r="E9" s="12"/>
      <c r="F9" s="12"/>
      <c r="G9" s="12"/>
      <c r="H9" s="12"/>
      <c r="J9" s="1"/>
    </row>
    <row r="10" spans="1:10" x14ac:dyDescent="0.25">
      <c r="A10" s="12"/>
      <c r="B10" s="12"/>
      <c r="C10" s="12"/>
      <c r="D10" s="12"/>
      <c r="E10" s="12"/>
      <c r="F10" s="12"/>
      <c r="G10" s="12"/>
      <c r="H10" s="12"/>
      <c r="J10" s="1"/>
    </row>
    <row r="11" spans="1:10" x14ac:dyDescent="0.25">
      <c r="A11" s="15"/>
      <c r="B11" s="16"/>
      <c r="C11" s="16"/>
      <c r="D11" s="16"/>
      <c r="E11" s="16"/>
      <c r="F11" s="16"/>
      <c r="G11" s="16"/>
      <c r="H11" s="17"/>
      <c r="J11" s="1"/>
    </row>
    <row r="12" spans="1:10" x14ac:dyDescent="0.25">
      <c r="A12" s="18"/>
      <c r="B12" s="2"/>
      <c r="C12" s="2"/>
      <c r="D12" s="2"/>
      <c r="E12" s="2"/>
      <c r="F12" s="2"/>
      <c r="G12" s="19" t="s">
        <v>37</v>
      </c>
      <c r="H12" s="20"/>
      <c r="J12" s="1"/>
    </row>
    <row r="13" spans="1:10" x14ac:dyDescent="0.25">
      <c r="A13" s="18"/>
      <c r="B13" s="2"/>
      <c r="C13" s="2"/>
      <c r="D13" s="2"/>
      <c r="E13" s="2"/>
      <c r="F13" s="2"/>
      <c r="G13" s="19"/>
      <c r="H13" s="20"/>
      <c r="J13" s="1"/>
    </row>
    <row r="14" spans="1:10" ht="15.75" x14ac:dyDescent="0.25">
      <c r="A14" s="21"/>
      <c r="B14" s="251" t="s">
        <v>38</v>
      </c>
      <c r="C14" s="251"/>
      <c r="D14" s="251"/>
      <c r="E14" s="251"/>
      <c r="F14" s="251"/>
      <c r="G14" s="251"/>
      <c r="H14" s="20"/>
    </row>
    <row r="15" spans="1:10" x14ac:dyDescent="0.25">
      <c r="A15" s="18"/>
      <c r="B15" s="2"/>
      <c r="C15" s="2"/>
      <c r="D15" s="2"/>
      <c r="E15" s="2"/>
      <c r="F15" s="2"/>
      <c r="G15" s="19"/>
      <c r="H15" s="20"/>
      <c r="J15" s="1"/>
    </row>
    <row r="16" spans="1:10" x14ac:dyDescent="0.25">
      <c r="A16" s="252" t="s">
        <v>39</v>
      </c>
      <c r="B16" s="253"/>
      <c r="C16" s="254" t="s">
        <v>40</v>
      </c>
      <c r="D16" s="254"/>
      <c r="E16" s="254"/>
      <c r="F16" s="254"/>
      <c r="G16" s="254"/>
      <c r="H16" s="37"/>
      <c r="J16" s="1"/>
    </row>
    <row r="17" spans="1:10" ht="39" customHeight="1" x14ac:dyDescent="0.25">
      <c r="A17" s="232" t="s">
        <v>41</v>
      </c>
      <c r="B17" s="233"/>
      <c r="C17" s="234" t="s">
        <v>42</v>
      </c>
      <c r="D17" s="234"/>
      <c r="E17" s="234"/>
      <c r="F17" s="234"/>
      <c r="G17" s="234"/>
      <c r="H17" s="235"/>
      <c r="J17" s="1"/>
    </row>
    <row r="18" spans="1:10" ht="32.25" customHeight="1" x14ac:dyDescent="0.25">
      <c r="A18" s="236" t="s">
        <v>43</v>
      </c>
      <c r="B18" s="237"/>
      <c r="C18" s="238" t="s">
        <v>44</v>
      </c>
      <c r="D18" s="238"/>
      <c r="E18" s="238"/>
      <c r="F18" s="238"/>
      <c r="G18" s="238"/>
      <c r="H18" s="239"/>
      <c r="J18" s="1"/>
    </row>
    <row r="19" spans="1:10" ht="43.5" customHeight="1" x14ac:dyDescent="0.25">
      <c r="A19" s="240" t="s">
        <v>45</v>
      </c>
      <c r="B19" s="241"/>
      <c r="C19" s="242" t="s">
        <v>46</v>
      </c>
      <c r="D19" s="242"/>
      <c r="E19" s="242"/>
      <c r="F19" s="242"/>
      <c r="G19" s="242"/>
      <c r="H19" s="243"/>
      <c r="J19" s="1"/>
    </row>
    <row r="20" spans="1:10" ht="30.75" customHeight="1" x14ac:dyDescent="0.25">
      <c r="A20" s="258" t="s">
        <v>47</v>
      </c>
      <c r="B20" s="259"/>
      <c r="C20" s="260" t="s">
        <v>48</v>
      </c>
      <c r="D20" s="260"/>
      <c r="E20" s="260"/>
      <c r="F20" s="260"/>
      <c r="G20" s="260"/>
      <c r="H20" s="261"/>
      <c r="J20" s="1"/>
    </row>
    <row r="21" spans="1:10" ht="27" customHeight="1" x14ac:dyDescent="0.25">
      <c r="A21" s="232" t="s">
        <v>49</v>
      </c>
      <c r="B21" s="233"/>
      <c r="C21" s="234" t="s">
        <v>50</v>
      </c>
      <c r="D21" s="234"/>
      <c r="E21" s="234"/>
      <c r="F21" s="234"/>
      <c r="G21" s="234"/>
      <c r="H21" s="235"/>
      <c r="J21" s="1"/>
    </row>
    <row r="22" spans="1:10" ht="33" customHeight="1" x14ac:dyDescent="0.25">
      <c r="A22" s="236" t="s">
        <v>51</v>
      </c>
      <c r="B22" s="237"/>
      <c r="C22" s="238" t="s">
        <v>52</v>
      </c>
      <c r="D22" s="238"/>
      <c r="E22" s="238"/>
      <c r="F22" s="238"/>
      <c r="G22" s="238"/>
      <c r="H22" s="239"/>
      <c r="J22" s="1"/>
    </row>
    <row r="23" spans="1:10" ht="27.75" customHeight="1" x14ac:dyDescent="0.25">
      <c r="A23" s="240" t="s">
        <v>53</v>
      </c>
      <c r="B23" s="241"/>
      <c r="C23" s="242" t="s">
        <v>54</v>
      </c>
      <c r="D23" s="242"/>
      <c r="E23" s="242"/>
      <c r="F23" s="242"/>
      <c r="G23" s="242"/>
      <c r="H23" s="243"/>
      <c r="J23" s="1"/>
    </row>
    <row r="24" spans="1:10" ht="40.5" customHeight="1" x14ac:dyDescent="0.25">
      <c r="A24" s="236" t="s">
        <v>55</v>
      </c>
      <c r="B24" s="237"/>
      <c r="C24" s="238" t="s">
        <v>56</v>
      </c>
      <c r="D24" s="238"/>
      <c r="E24" s="238"/>
      <c r="F24" s="238"/>
      <c r="G24" s="238"/>
      <c r="H24" s="239"/>
      <c r="J24" s="1"/>
    </row>
    <row r="25" spans="1:10" ht="39.75" customHeight="1" x14ac:dyDescent="0.25">
      <c r="A25" s="240" t="s">
        <v>57</v>
      </c>
      <c r="B25" s="241"/>
      <c r="C25" s="242" t="s">
        <v>58</v>
      </c>
      <c r="D25" s="242"/>
      <c r="E25" s="242"/>
      <c r="F25" s="242"/>
      <c r="G25" s="242"/>
      <c r="H25" s="243"/>
      <c r="J25" s="1"/>
    </row>
    <row r="26" spans="1:10" ht="8.25" customHeight="1" x14ac:dyDescent="0.25">
      <c r="A26" s="22"/>
      <c r="B26" s="23"/>
      <c r="C26" s="23"/>
      <c r="D26" s="23"/>
      <c r="E26" s="23"/>
      <c r="F26" s="23"/>
      <c r="G26" s="23"/>
      <c r="H26" s="24"/>
    </row>
    <row r="27" spans="1:10" ht="27" customHeight="1" x14ac:dyDescent="0.25">
      <c r="A27" s="255" t="s">
        <v>59</v>
      </c>
      <c r="B27" s="256"/>
      <c r="C27" s="256"/>
      <c r="D27" s="256"/>
      <c r="E27" s="256"/>
      <c r="F27" s="256"/>
      <c r="G27" s="256"/>
      <c r="H27" s="257"/>
    </row>
    <row r="28" spans="1:10" ht="39.75" customHeight="1" x14ac:dyDescent="0.25">
      <c r="A28" s="228" t="s">
        <v>60</v>
      </c>
      <c r="B28" s="229"/>
      <c r="C28" s="229"/>
      <c r="D28" s="229"/>
      <c r="E28" s="229"/>
      <c r="F28" s="229"/>
      <c r="G28" s="229"/>
      <c r="H28" s="230"/>
    </row>
    <row r="29" spans="1:10" x14ac:dyDescent="0.25">
      <c r="A29" s="25"/>
      <c r="B29" s="26"/>
      <c r="C29" s="26"/>
      <c r="D29" s="26"/>
      <c r="E29" s="26"/>
      <c r="F29" s="26"/>
      <c r="G29" s="26"/>
      <c r="H29" s="27"/>
    </row>
    <row r="30" spans="1:10" x14ac:dyDescent="0.25">
      <c r="A30" s="18"/>
      <c r="B30" s="2"/>
      <c r="C30" s="2"/>
      <c r="D30" s="2"/>
      <c r="E30" s="2"/>
      <c r="F30" s="2"/>
      <c r="G30" s="19" t="s">
        <v>61</v>
      </c>
      <c r="H30" s="20"/>
    </row>
    <row r="31" spans="1:10" x14ac:dyDescent="0.25">
      <c r="A31" s="18"/>
      <c r="B31" s="2"/>
      <c r="C31" s="2"/>
      <c r="D31" s="2"/>
      <c r="E31" s="2"/>
      <c r="F31" s="2"/>
      <c r="G31" s="19"/>
      <c r="H31" s="20"/>
    </row>
    <row r="32" spans="1:10" ht="15.75" x14ac:dyDescent="0.25">
      <c r="A32" s="21"/>
      <c r="B32" s="251" t="s">
        <v>62</v>
      </c>
      <c r="C32" s="251"/>
      <c r="D32" s="251"/>
      <c r="E32" s="251"/>
      <c r="F32" s="251"/>
      <c r="G32" s="251"/>
      <c r="H32" s="20"/>
    </row>
    <row r="33" spans="1:8" x14ac:dyDescent="0.25">
      <c r="A33" s="18"/>
      <c r="B33" s="2"/>
      <c r="C33" s="2"/>
      <c r="D33" s="2"/>
      <c r="E33" s="2"/>
      <c r="F33" s="2"/>
      <c r="G33" s="19"/>
      <c r="H33" s="20"/>
    </row>
    <row r="34" spans="1:8" ht="15" customHeight="1" x14ac:dyDescent="0.25">
      <c r="A34" s="252" t="s">
        <v>39</v>
      </c>
      <c r="B34" s="253"/>
      <c r="C34" s="254" t="s">
        <v>40</v>
      </c>
      <c r="D34" s="254"/>
      <c r="E34" s="254"/>
      <c r="F34" s="254"/>
      <c r="G34" s="254"/>
      <c r="H34" s="37"/>
    </row>
    <row r="35" spans="1:8" ht="21.75" customHeight="1" x14ac:dyDescent="0.25">
      <c r="A35" s="232" t="s">
        <v>41</v>
      </c>
      <c r="B35" s="233"/>
      <c r="C35" s="234" t="s">
        <v>63</v>
      </c>
      <c r="D35" s="234"/>
      <c r="E35" s="234"/>
      <c r="F35" s="234"/>
      <c r="G35" s="234"/>
      <c r="H35" s="235"/>
    </row>
    <row r="36" spans="1:8" ht="41.25" customHeight="1" x14ac:dyDescent="0.25">
      <c r="A36" s="236" t="s">
        <v>45</v>
      </c>
      <c r="B36" s="237"/>
      <c r="C36" s="238" t="s">
        <v>64</v>
      </c>
      <c r="D36" s="238"/>
      <c r="E36" s="238"/>
      <c r="F36" s="238"/>
      <c r="G36" s="238"/>
      <c r="H36" s="239"/>
    </row>
    <row r="37" spans="1:8" ht="28.5" customHeight="1" x14ac:dyDescent="0.25">
      <c r="A37" s="240" t="s">
        <v>47</v>
      </c>
      <c r="B37" s="241"/>
      <c r="C37" s="242" t="s">
        <v>65</v>
      </c>
      <c r="D37" s="242"/>
      <c r="E37" s="242"/>
      <c r="F37" s="242"/>
      <c r="G37" s="242"/>
      <c r="H37" s="243"/>
    </row>
    <row r="38" spans="1:8" ht="28.5" customHeight="1" x14ac:dyDescent="0.25">
      <c r="A38" s="236" t="s">
        <v>49</v>
      </c>
      <c r="B38" s="237"/>
      <c r="C38" s="238" t="s">
        <v>50</v>
      </c>
      <c r="D38" s="238"/>
      <c r="E38" s="238"/>
      <c r="F38" s="238"/>
      <c r="G38" s="238"/>
      <c r="H38" s="239"/>
    </row>
    <row r="39" spans="1:8" ht="29.25" customHeight="1" x14ac:dyDescent="0.25">
      <c r="A39" s="240" t="s">
        <v>51</v>
      </c>
      <c r="B39" s="241"/>
      <c r="C39" s="242" t="s">
        <v>52</v>
      </c>
      <c r="D39" s="242"/>
      <c r="E39" s="242"/>
      <c r="F39" s="242"/>
      <c r="G39" s="242"/>
      <c r="H39" s="243"/>
    </row>
    <row r="40" spans="1:8" ht="27.75" customHeight="1" x14ac:dyDescent="0.25">
      <c r="A40" s="236" t="s">
        <v>53</v>
      </c>
      <c r="B40" s="237"/>
      <c r="C40" s="238" t="s">
        <v>54</v>
      </c>
      <c r="D40" s="238"/>
      <c r="E40" s="238"/>
      <c r="F40" s="238"/>
      <c r="G40" s="238"/>
      <c r="H40" s="239"/>
    </row>
    <row r="41" spans="1:8" ht="42.75" customHeight="1" x14ac:dyDescent="0.25">
      <c r="A41" s="240" t="s">
        <v>55</v>
      </c>
      <c r="B41" s="241"/>
      <c r="C41" s="242" t="s">
        <v>56</v>
      </c>
      <c r="D41" s="242"/>
      <c r="E41" s="242"/>
      <c r="F41" s="242"/>
      <c r="G41" s="242"/>
      <c r="H41" s="243"/>
    </row>
    <row r="42" spans="1:8" ht="38.25" customHeight="1" x14ac:dyDescent="0.25">
      <c r="A42" s="236" t="s">
        <v>57</v>
      </c>
      <c r="B42" s="237"/>
      <c r="C42" s="238" t="s">
        <v>58</v>
      </c>
      <c r="D42" s="238"/>
      <c r="E42" s="238"/>
      <c r="F42" s="238"/>
      <c r="G42" s="238"/>
      <c r="H42" s="239"/>
    </row>
    <row r="43" spans="1:8" x14ac:dyDescent="0.25">
      <c r="A43" s="244"/>
      <c r="B43" s="245"/>
      <c r="C43" s="7"/>
      <c r="D43" s="7"/>
      <c r="E43" s="7"/>
      <c r="F43" s="7"/>
      <c r="G43" s="7"/>
      <c r="H43" s="24"/>
    </row>
    <row r="44" spans="1:8" x14ac:dyDescent="0.25">
      <c r="A44" s="247" t="s">
        <v>66</v>
      </c>
      <c r="B44" s="248"/>
      <c r="C44" s="248"/>
      <c r="D44" s="248"/>
      <c r="E44" s="248"/>
      <c r="F44" s="248"/>
      <c r="G44" s="248"/>
      <c r="H44" s="24"/>
    </row>
    <row r="45" spans="1:8" x14ac:dyDescent="0.25">
      <c r="A45" s="28"/>
      <c r="B45" s="7"/>
      <c r="C45" s="7"/>
      <c r="D45" s="7"/>
      <c r="E45" s="7"/>
      <c r="F45" s="7"/>
      <c r="G45" s="7"/>
      <c r="H45" s="24"/>
    </row>
    <row r="46" spans="1:8" x14ac:dyDescent="0.25">
      <c r="A46" s="21"/>
      <c r="H46" s="20"/>
    </row>
    <row r="47" spans="1:8" x14ac:dyDescent="0.25">
      <c r="A47" s="21"/>
      <c r="H47" s="20"/>
    </row>
    <row r="48" spans="1:8" ht="15.75" customHeight="1" x14ac:dyDescent="0.25">
      <c r="A48" s="21"/>
      <c r="B48" s="246" t="s">
        <v>67</v>
      </c>
      <c r="C48" s="246"/>
      <c r="D48" s="246"/>
      <c r="E48" s="246"/>
      <c r="F48" s="246"/>
      <c r="G48" s="246"/>
      <c r="H48" s="20"/>
    </row>
    <row r="49" spans="1:8" x14ac:dyDescent="0.25">
      <c r="A49" s="18"/>
      <c r="B49" s="2"/>
      <c r="C49" s="2"/>
      <c r="D49" s="2"/>
      <c r="E49" s="2"/>
      <c r="F49" s="2"/>
      <c r="G49" s="19"/>
      <c r="H49" s="20"/>
    </row>
    <row r="50" spans="1:8" x14ac:dyDescent="0.25">
      <c r="A50" s="252" t="s">
        <v>39</v>
      </c>
      <c r="B50" s="253"/>
      <c r="C50" s="254" t="s">
        <v>40</v>
      </c>
      <c r="D50" s="254"/>
      <c r="E50" s="254"/>
      <c r="F50" s="254"/>
      <c r="G50" s="254"/>
      <c r="H50" s="37"/>
    </row>
    <row r="51" spans="1:8" ht="28.5" customHeight="1" x14ac:dyDescent="0.25">
      <c r="A51" s="232" t="s">
        <v>68</v>
      </c>
      <c r="B51" s="233"/>
      <c r="C51" s="234" t="s">
        <v>69</v>
      </c>
      <c r="D51" s="234"/>
      <c r="E51" s="234"/>
      <c r="F51" s="234"/>
      <c r="G51" s="234"/>
      <c r="H51" s="235"/>
    </row>
    <row r="52" spans="1:8" ht="24.75" customHeight="1" x14ac:dyDescent="0.25">
      <c r="A52" s="236" t="s">
        <v>55</v>
      </c>
      <c r="B52" s="237"/>
      <c r="C52" s="238" t="s">
        <v>70</v>
      </c>
      <c r="D52" s="238"/>
      <c r="E52" s="238"/>
      <c r="F52" s="238"/>
      <c r="G52" s="238"/>
      <c r="H52" s="239"/>
    </row>
    <row r="53" spans="1:8" x14ac:dyDescent="0.25">
      <c r="A53" s="244"/>
      <c r="B53" s="245"/>
      <c r="C53" s="245"/>
      <c r="D53" s="245"/>
      <c r="E53" s="245"/>
      <c r="F53" s="245"/>
      <c r="G53" s="245"/>
      <c r="H53" s="268"/>
    </row>
    <row r="54" spans="1:8" x14ac:dyDescent="0.25">
      <c r="A54" s="21"/>
      <c r="H54" s="20"/>
    </row>
    <row r="55" spans="1:8" x14ac:dyDescent="0.25">
      <c r="A55" s="21"/>
      <c r="H55" s="20"/>
    </row>
    <row r="56" spans="1:8" x14ac:dyDescent="0.25">
      <c r="A56" s="21"/>
      <c r="B56" s="266" t="s">
        <v>71</v>
      </c>
      <c r="C56" s="266"/>
      <c r="D56" s="266"/>
      <c r="E56" s="266"/>
      <c r="F56" s="266"/>
      <c r="G56" s="266"/>
      <c r="H56" s="20"/>
    </row>
    <row r="57" spans="1:8" x14ac:dyDescent="0.25">
      <c r="A57" s="21"/>
      <c r="H57" s="20"/>
    </row>
    <row r="58" spans="1:8" ht="15" customHeight="1" x14ac:dyDescent="0.25">
      <c r="A58" s="252" t="s">
        <v>39</v>
      </c>
      <c r="B58" s="253"/>
      <c r="C58" s="254" t="s">
        <v>40</v>
      </c>
      <c r="D58" s="254"/>
      <c r="E58" s="254"/>
      <c r="F58" s="254"/>
      <c r="G58" s="254"/>
      <c r="H58" s="46"/>
    </row>
    <row r="59" spans="1:8" ht="24.75" customHeight="1" x14ac:dyDescent="0.25">
      <c r="A59" s="232" t="s">
        <v>51</v>
      </c>
      <c r="B59" s="233"/>
      <c r="C59" s="234" t="s">
        <v>72</v>
      </c>
      <c r="D59" s="234"/>
      <c r="E59" s="234"/>
      <c r="F59" s="234"/>
      <c r="G59" s="234"/>
      <c r="H59" s="235"/>
    </row>
    <row r="60" spans="1:8" ht="30" customHeight="1" x14ac:dyDescent="0.25">
      <c r="A60" s="236" t="s">
        <v>53</v>
      </c>
      <c r="B60" s="237"/>
      <c r="C60" s="238" t="s">
        <v>73</v>
      </c>
      <c r="D60" s="238"/>
      <c r="E60" s="238"/>
      <c r="F60" s="238"/>
      <c r="G60" s="238"/>
      <c r="H60" s="239"/>
    </row>
    <row r="61" spans="1:8" ht="26.25" customHeight="1" x14ac:dyDescent="0.25">
      <c r="A61" s="240" t="s">
        <v>55</v>
      </c>
      <c r="B61" s="241"/>
      <c r="C61" s="242" t="s">
        <v>74</v>
      </c>
      <c r="D61" s="242"/>
      <c r="E61" s="242"/>
      <c r="F61" s="242"/>
      <c r="G61" s="242"/>
      <c r="H61" s="243"/>
    </row>
    <row r="62" spans="1:8" ht="25.5" customHeight="1" x14ac:dyDescent="0.25">
      <c r="A62" s="236" t="s">
        <v>75</v>
      </c>
      <c r="B62" s="237"/>
      <c r="C62" s="238" t="s">
        <v>76</v>
      </c>
      <c r="D62" s="238"/>
      <c r="E62" s="238"/>
      <c r="F62" s="238"/>
      <c r="G62" s="238"/>
      <c r="H62" s="239"/>
    </row>
    <row r="63" spans="1:8" x14ac:dyDescent="0.25">
      <c r="A63" s="29"/>
      <c r="B63" s="30"/>
      <c r="C63" s="30"/>
      <c r="D63" s="30"/>
      <c r="E63" s="30"/>
      <c r="F63" s="30"/>
      <c r="G63" s="30"/>
      <c r="H63" s="31"/>
    </row>
    <row r="68" spans="1:8" x14ac:dyDescent="0.25">
      <c r="A68" s="32"/>
      <c r="B68" s="33"/>
      <c r="C68" s="33"/>
      <c r="D68" s="33"/>
      <c r="E68" s="33"/>
      <c r="F68" s="33"/>
      <c r="G68" s="33"/>
      <c r="H68" s="34"/>
    </row>
    <row r="69" spans="1:8" x14ac:dyDescent="0.25">
      <c r="A69" s="18"/>
      <c r="B69" s="2"/>
      <c r="C69" s="2"/>
      <c r="D69" s="2"/>
      <c r="E69" s="2"/>
      <c r="F69" s="2"/>
      <c r="G69" s="19" t="s">
        <v>77</v>
      </c>
      <c r="H69" s="20"/>
    </row>
    <row r="70" spans="1:8" x14ac:dyDescent="0.25">
      <c r="A70" s="18"/>
      <c r="B70" s="2"/>
      <c r="C70" s="2"/>
      <c r="D70" s="2"/>
      <c r="E70" s="2"/>
      <c r="F70" s="2"/>
      <c r="G70" s="19"/>
      <c r="H70" s="20"/>
    </row>
    <row r="71" spans="1:8" ht="15" customHeight="1" x14ac:dyDescent="0.25">
      <c r="A71" s="21"/>
      <c r="B71" s="266" t="s">
        <v>78</v>
      </c>
      <c r="C71" s="266"/>
      <c r="D71" s="266"/>
      <c r="E71" s="266"/>
      <c r="F71" s="266"/>
      <c r="G71" s="266"/>
      <c r="H71" s="20"/>
    </row>
    <row r="72" spans="1:8" x14ac:dyDescent="0.25">
      <c r="A72" s="18"/>
      <c r="B72" s="2"/>
      <c r="C72" s="2"/>
      <c r="D72" s="2"/>
      <c r="E72" s="2"/>
      <c r="F72" s="2"/>
      <c r="G72" s="19"/>
      <c r="H72" s="20"/>
    </row>
    <row r="73" spans="1:8" ht="15" customHeight="1" x14ac:dyDescent="0.25">
      <c r="A73" s="252" t="s">
        <v>39</v>
      </c>
      <c r="B73" s="253"/>
      <c r="C73" s="254" t="s">
        <v>40</v>
      </c>
      <c r="D73" s="254"/>
      <c r="E73" s="254"/>
      <c r="F73" s="254"/>
      <c r="G73" s="254"/>
      <c r="H73" s="37"/>
    </row>
    <row r="74" spans="1:8" ht="26.25" customHeight="1" x14ac:dyDescent="0.25">
      <c r="A74" s="232" t="s">
        <v>79</v>
      </c>
      <c r="B74" s="233"/>
      <c r="C74" s="234" t="s">
        <v>80</v>
      </c>
      <c r="D74" s="234"/>
      <c r="E74" s="234"/>
      <c r="F74" s="234"/>
      <c r="G74" s="234"/>
      <c r="H74" s="235"/>
    </row>
    <row r="75" spans="1:8" ht="27" customHeight="1" x14ac:dyDescent="0.25">
      <c r="A75" s="236" t="s">
        <v>45</v>
      </c>
      <c r="B75" s="237"/>
      <c r="C75" s="238" t="s">
        <v>64</v>
      </c>
      <c r="D75" s="238"/>
      <c r="E75" s="238"/>
      <c r="F75" s="238"/>
      <c r="G75" s="238"/>
      <c r="H75" s="239"/>
    </row>
    <row r="76" spans="1:8" ht="26.25" customHeight="1" x14ac:dyDescent="0.25">
      <c r="A76" s="240" t="s">
        <v>47</v>
      </c>
      <c r="B76" s="241"/>
      <c r="C76" s="242" t="s">
        <v>65</v>
      </c>
      <c r="D76" s="242"/>
      <c r="E76" s="242"/>
      <c r="F76" s="242"/>
      <c r="G76" s="242"/>
      <c r="H76" s="243"/>
    </row>
    <row r="77" spans="1:8" ht="27.75" customHeight="1" x14ac:dyDescent="0.25">
      <c r="A77" s="258" t="s">
        <v>49</v>
      </c>
      <c r="B77" s="259"/>
      <c r="C77" s="260" t="s">
        <v>81</v>
      </c>
      <c r="D77" s="260"/>
      <c r="E77" s="260"/>
      <c r="F77" s="260"/>
      <c r="G77" s="260"/>
      <c r="H77" s="261"/>
    </row>
    <row r="78" spans="1:8" ht="25.5" customHeight="1" x14ac:dyDescent="0.25">
      <c r="A78" s="240" t="s">
        <v>51</v>
      </c>
      <c r="B78" s="241"/>
      <c r="C78" s="242" t="s">
        <v>52</v>
      </c>
      <c r="D78" s="242"/>
      <c r="E78" s="242"/>
      <c r="F78" s="242"/>
      <c r="G78" s="242"/>
      <c r="H78" s="243"/>
    </row>
    <row r="79" spans="1:8" ht="15" customHeight="1" x14ac:dyDescent="0.25">
      <c r="A79" s="236" t="s">
        <v>53</v>
      </c>
      <c r="B79" s="237"/>
      <c r="C79" s="238" t="s">
        <v>82</v>
      </c>
      <c r="D79" s="238"/>
      <c r="E79" s="238"/>
      <c r="F79" s="238"/>
      <c r="G79" s="238"/>
      <c r="H79" s="239"/>
    </row>
    <row r="80" spans="1:8" ht="39" customHeight="1" x14ac:dyDescent="0.25">
      <c r="A80" s="240" t="s">
        <v>55</v>
      </c>
      <c r="B80" s="241"/>
      <c r="C80" s="242" t="s">
        <v>56</v>
      </c>
      <c r="D80" s="242"/>
      <c r="E80" s="242"/>
      <c r="F80" s="242"/>
      <c r="G80" s="242"/>
      <c r="H80" s="243"/>
    </row>
    <row r="81" spans="1:8" ht="41.25" customHeight="1" x14ac:dyDescent="0.25">
      <c r="A81" s="236" t="s">
        <v>57</v>
      </c>
      <c r="B81" s="237"/>
      <c r="C81" s="238" t="s">
        <v>58</v>
      </c>
      <c r="D81" s="238"/>
      <c r="E81" s="238"/>
      <c r="F81" s="238"/>
      <c r="G81" s="238"/>
      <c r="H81" s="239"/>
    </row>
    <row r="82" spans="1:8" x14ac:dyDescent="0.25">
      <c r="A82" s="244"/>
      <c r="B82" s="245"/>
      <c r="C82" s="7"/>
      <c r="D82" s="7"/>
      <c r="E82" s="7"/>
      <c r="F82" s="7"/>
      <c r="G82" s="7"/>
      <c r="H82" s="24"/>
    </row>
    <row r="83" spans="1:8" x14ac:dyDescent="0.25">
      <c r="A83" s="247" t="s">
        <v>83</v>
      </c>
      <c r="B83" s="248"/>
      <c r="C83" s="248"/>
      <c r="D83" s="248"/>
      <c r="E83" s="248"/>
      <c r="F83" s="248"/>
      <c r="G83" s="248"/>
      <c r="H83" s="24"/>
    </row>
    <row r="84" spans="1:8" x14ac:dyDescent="0.25">
      <c r="A84" s="28"/>
      <c r="B84" s="7"/>
      <c r="C84" s="7"/>
      <c r="D84" s="7"/>
      <c r="E84" s="7"/>
      <c r="F84" s="7"/>
      <c r="G84" s="7"/>
      <c r="H84" s="24"/>
    </row>
    <row r="85" spans="1:8" x14ac:dyDescent="0.25">
      <c r="A85" s="21"/>
      <c r="H85" s="20"/>
    </row>
    <row r="86" spans="1:8" x14ac:dyDescent="0.25">
      <c r="A86" s="21"/>
      <c r="H86" s="20"/>
    </row>
    <row r="87" spans="1:8" x14ac:dyDescent="0.25">
      <c r="A87" s="21"/>
      <c r="B87" s="266" t="s">
        <v>84</v>
      </c>
      <c r="C87" s="266"/>
      <c r="D87" s="266"/>
      <c r="E87" s="266"/>
      <c r="F87" s="266"/>
      <c r="G87" s="266"/>
      <c r="H87" s="20"/>
    </row>
    <row r="88" spans="1:8" x14ac:dyDescent="0.25">
      <c r="A88" s="18"/>
      <c r="B88" s="2"/>
      <c r="C88" s="2"/>
      <c r="D88" s="2"/>
      <c r="E88" s="2"/>
      <c r="F88" s="2"/>
      <c r="G88" s="19"/>
      <c r="H88" s="20"/>
    </row>
    <row r="89" spans="1:8" x14ac:dyDescent="0.25">
      <c r="A89" s="252" t="s">
        <v>39</v>
      </c>
      <c r="B89" s="253"/>
      <c r="C89" s="254" t="s">
        <v>40</v>
      </c>
      <c r="D89" s="254"/>
      <c r="E89" s="254"/>
      <c r="F89" s="254"/>
      <c r="G89" s="254"/>
      <c r="H89" s="37"/>
    </row>
    <row r="90" spans="1:8" ht="27.75" customHeight="1" x14ac:dyDescent="0.25">
      <c r="A90" s="232" t="s">
        <v>79</v>
      </c>
      <c r="B90" s="233"/>
      <c r="C90" s="234" t="s">
        <v>85</v>
      </c>
      <c r="D90" s="234"/>
      <c r="E90" s="234"/>
      <c r="F90" s="234"/>
      <c r="G90" s="234"/>
      <c r="H90" s="235"/>
    </row>
    <row r="91" spans="1:8" x14ac:dyDescent="0.25">
      <c r="A91" s="236" t="s">
        <v>86</v>
      </c>
      <c r="B91" s="237"/>
      <c r="C91" s="238" t="s">
        <v>87</v>
      </c>
      <c r="D91" s="238"/>
      <c r="E91" s="238"/>
      <c r="F91" s="238"/>
      <c r="G91" s="238"/>
      <c r="H91" s="239"/>
    </row>
    <row r="92" spans="1:8" ht="25.5" customHeight="1" x14ac:dyDescent="0.25">
      <c r="A92" s="240" t="s">
        <v>88</v>
      </c>
      <c r="B92" s="241"/>
      <c r="C92" s="242" t="s">
        <v>89</v>
      </c>
      <c r="D92" s="242"/>
      <c r="E92" s="242"/>
      <c r="F92" s="242"/>
      <c r="G92" s="242"/>
      <c r="H92" s="243"/>
    </row>
    <row r="93" spans="1:8" ht="25.5" customHeight="1" x14ac:dyDescent="0.25">
      <c r="A93" s="236" t="s">
        <v>90</v>
      </c>
      <c r="B93" s="237"/>
      <c r="C93" s="238" t="s">
        <v>91</v>
      </c>
      <c r="D93" s="238"/>
      <c r="E93" s="238"/>
      <c r="F93" s="238"/>
      <c r="G93" s="238"/>
      <c r="H93" s="239"/>
    </row>
    <row r="94" spans="1:8" ht="27.75" customHeight="1" x14ac:dyDescent="0.25">
      <c r="A94" s="232" t="s">
        <v>55</v>
      </c>
      <c r="B94" s="233"/>
      <c r="C94" s="234" t="s">
        <v>92</v>
      </c>
      <c r="D94" s="234"/>
      <c r="E94" s="234"/>
      <c r="F94" s="234"/>
      <c r="G94" s="234"/>
      <c r="H94" s="235"/>
    </row>
    <row r="95" spans="1:8" ht="38.25" customHeight="1" x14ac:dyDescent="0.25">
      <c r="A95" s="236" t="s">
        <v>75</v>
      </c>
      <c r="B95" s="237"/>
      <c r="C95" s="238" t="s">
        <v>93</v>
      </c>
      <c r="D95" s="238"/>
      <c r="E95" s="238"/>
      <c r="F95" s="238"/>
      <c r="G95" s="238"/>
      <c r="H95" s="239"/>
    </row>
    <row r="96" spans="1:8" x14ac:dyDescent="0.25">
      <c r="A96" s="21"/>
      <c r="H96" s="20"/>
    </row>
    <row r="97" spans="1:8" x14ac:dyDescent="0.25">
      <c r="A97" s="21"/>
      <c r="H97" s="20"/>
    </row>
    <row r="98" spans="1:8" x14ac:dyDescent="0.25">
      <c r="A98" s="21"/>
      <c r="H98" s="20"/>
    </row>
    <row r="99" spans="1:8" x14ac:dyDescent="0.25">
      <c r="A99" s="35"/>
      <c r="B99" s="263" t="s">
        <v>94</v>
      </c>
      <c r="C99" s="263"/>
      <c r="D99" s="263"/>
      <c r="E99" s="263"/>
      <c r="F99" s="263"/>
      <c r="G99" s="263"/>
      <c r="H99" s="36"/>
    </row>
    <row r="100" spans="1:8" ht="26.25" customHeight="1" x14ac:dyDescent="0.25">
      <c r="A100" s="262" t="s">
        <v>95</v>
      </c>
      <c r="B100" s="262"/>
      <c r="C100" s="262"/>
      <c r="D100" s="262"/>
      <c r="E100" s="262"/>
      <c r="F100" s="262"/>
      <c r="G100" s="262"/>
      <c r="H100" s="262"/>
    </row>
    <row r="101" spans="1:8" x14ac:dyDescent="0.25">
      <c r="A101" s="29"/>
      <c r="B101" s="30"/>
      <c r="C101" s="30"/>
      <c r="D101" s="30"/>
      <c r="E101" s="30"/>
      <c r="F101" s="30"/>
      <c r="G101" s="30"/>
      <c r="H101" s="31"/>
    </row>
  </sheetData>
  <mergeCells count="111">
    <mergeCell ref="A95:B95"/>
    <mergeCell ref="C95:H95"/>
    <mergeCell ref="B87:G87"/>
    <mergeCell ref="A89:B89"/>
    <mergeCell ref="A50:B50"/>
    <mergeCell ref="C50:G50"/>
    <mergeCell ref="A53:B53"/>
    <mergeCell ref="C53:H53"/>
    <mergeCell ref="A22:B22"/>
    <mergeCell ref="A23:B23"/>
    <mergeCell ref="C22:H22"/>
    <mergeCell ref="C23:H23"/>
    <mergeCell ref="B32:G32"/>
    <mergeCell ref="A81:B81"/>
    <mergeCell ref="C81:H81"/>
    <mergeCell ref="C58:G58"/>
    <mergeCell ref="A62:B62"/>
    <mergeCell ref="C62:H62"/>
    <mergeCell ref="B71:G71"/>
    <mergeCell ref="A73:B73"/>
    <mergeCell ref="C73:G73"/>
    <mergeCell ref="A74:B74"/>
    <mergeCell ref="C74:H74"/>
    <mergeCell ref="A75:B75"/>
    <mergeCell ref="C91:H91"/>
    <mergeCell ref="A93:B93"/>
    <mergeCell ref="C93:H93"/>
    <mergeCell ref="E6:H6"/>
    <mergeCell ref="A5:B6"/>
    <mergeCell ref="C5:D6"/>
    <mergeCell ref="A79:B79"/>
    <mergeCell ref="C79:H79"/>
    <mergeCell ref="B56:G56"/>
    <mergeCell ref="A7:B7"/>
    <mergeCell ref="C21:H21"/>
    <mergeCell ref="E5:H5"/>
    <mergeCell ref="E7:H7"/>
    <mergeCell ref="A17:B17"/>
    <mergeCell ref="C75:H75"/>
    <mergeCell ref="A76:B76"/>
    <mergeCell ref="C76:H76"/>
    <mergeCell ref="A42:B42"/>
    <mergeCell ref="C42:H42"/>
    <mergeCell ref="A39:B39"/>
    <mergeCell ref="C39:H39"/>
    <mergeCell ref="A40:B40"/>
    <mergeCell ref="C40:H40"/>
    <mergeCell ref="A83:G83"/>
    <mergeCell ref="A100:H100"/>
    <mergeCell ref="A77:B77"/>
    <mergeCell ref="C77:H77"/>
    <mergeCell ref="A78:B78"/>
    <mergeCell ref="C78:H78"/>
    <mergeCell ref="A61:B61"/>
    <mergeCell ref="C61:H61"/>
    <mergeCell ref="A58:B58"/>
    <mergeCell ref="C89:G89"/>
    <mergeCell ref="A82:B82"/>
    <mergeCell ref="A80:B80"/>
    <mergeCell ref="C80:H80"/>
    <mergeCell ref="A60:B60"/>
    <mergeCell ref="C60:H60"/>
    <mergeCell ref="A59:B59"/>
    <mergeCell ref="C59:H59"/>
    <mergeCell ref="B99:G99"/>
    <mergeCell ref="A92:B92"/>
    <mergeCell ref="C92:H92"/>
    <mergeCell ref="A94:B94"/>
    <mergeCell ref="C94:H94"/>
    <mergeCell ref="A90:B90"/>
    <mergeCell ref="C90:H90"/>
    <mergeCell ref="A91:B91"/>
    <mergeCell ref="C2:E2"/>
    <mergeCell ref="A4:H4"/>
    <mergeCell ref="B14:G14"/>
    <mergeCell ref="A38:B38"/>
    <mergeCell ref="C38:H38"/>
    <mergeCell ref="A34:B34"/>
    <mergeCell ref="C34:G34"/>
    <mergeCell ref="A35:B35"/>
    <mergeCell ref="C35:H35"/>
    <mergeCell ref="A16:B16"/>
    <mergeCell ref="C16:G16"/>
    <mergeCell ref="C17:H17"/>
    <mergeCell ref="C18:H18"/>
    <mergeCell ref="A27:H27"/>
    <mergeCell ref="A18:B18"/>
    <mergeCell ref="A19:B19"/>
    <mergeCell ref="A20:B20"/>
    <mergeCell ref="C20:H20"/>
    <mergeCell ref="C19:H19"/>
    <mergeCell ref="A24:B24"/>
    <mergeCell ref="A25:B25"/>
    <mergeCell ref="C24:H24"/>
    <mergeCell ref="C25:H25"/>
    <mergeCell ref="A21:B21"/>
    <mergeCell ref="A28:H28"/>
    <mergeCell ref="C7:D7"/>
    <mergeCell ref="A51:B51"/>
    <mergeCell ref="C51:H51"/>
    <mergeCell ref="A52:B52"/>
    <mergeCell ref="C52:H52"/>
    <mergeCell ref="A41:B41"/>
    <mergeCell ref="C41:H41"/>
    <mergeCell ref="A36:B36"/>
    <mergeCell ref="C36:H36"/>
    <mergeCell ref="A37:B37"/>
    <mergeCell ref="C37:H37"/>
    <mergeCell ref="A43:B43"/>
    <mergeCell ref="B48:G48"/>
    <mergeCell ref="A44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RÍGIDO-Anexo 2 (A)</vt:lpstr>
      <vt:lpstr>OPTATIVAS-Anexo 2 (A)</vt:lpstr>
      <vt:lpstr>FLEXIBLE-Anexo 2 (B)</vt:lpstr>
      <vt:lpstr>Instrucciones para el llenado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HECTOR LEONEL PEREZ RAMIREZ</cp:lastModifiedBy>
  <dcterms:created xsi:type="dcterms:W3CDTF">2026-09-10T22:19:47Z</dcterms:created>
  <dcterms:modified xsi:type="dcterms:W3CDTF">2026-09-17T02:45:15Z</dcterms:modified>
</cp:coreProperties>
</file>